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208936\Downloads\"/>
    </mc:Choice>
  </mc:AlternateContent>
  <xr:revisionPtr revIDLastSave="0" documentId="13_ncr:1_{2572DBD2-741D-4E8D-A10C-61986A833646}" xr6:coauthVersionLast="47" xr6:coauthVersionMax="47" xr10:uidLastSave="{00000000-0000-0000-0000-000000000000}"/>
  <bookViews>
    <workbookView xWindow="-30828" yWindow="-2832" windowWidth="30936" windowHeight="16776" xr2:uid="{45D2DF17-6F7C-45FD-9E14-08090A3A3102}"/>
  </bookViews>
  <sheets>
    <sheet name="FOU data" sheetId="1" r:id="rId1"/>
    <sheet name="IAC data" sheetId="9" r:id="rId2"/>
    <sheet name="WTG data" sheetId="10" r:id="rId3"/>
    <sheet name="Programme" sheetId="11" r:id="rId4"/>
  </sheets>
  <definedNames>
    <definedName name="_xlnm._FilterDatabase" localSheetId="0" hidden="1">'FOU data'!$A$1:$N$1</definedName>
    <definedName name="_xlnm._FilterDatabase" localSheetId="1" hidden="1">'IAC data'!$A$1:$H$1</definedName>
    <definedName name="_xlnm._FilterDatabase" localSheetId="2" hidden="1">'WTG data'!$A$1:$F$1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" i="9" l="1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F4" i="11"/>
  <c r="G3" i="11" s="1"/>
  <c r="G4" i="11" s="1"/>
  <c r="G5" i="11" s="1"/>
  <c r="G6" i="11" s="1"/>
  <c r="G7" i="11" s="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G38" i="11" s="1"/>
  <c r="G39" i="11" s="1"/>
  <c r="G40" i="11" s="1"/>
  <c r="G41" i="11" s="1"/>
  <c r="G42" i="11" s="1"/>
  <c r="G43" i="11" s="1"/>
  <c r="G44" i="11" s="1"/>
  <c r="G45" i="11" s="1"/>
  <c r="G46" i="11" s="1"/>
  <c r="G47" i="11" s="1"/>
  <c r="G48" i="11" s="1"/>
  <c r="G49" i="11" s="1"/>
  <c r="G50" i="11" s="1"/>
  <c r="G51" i="11" s="1"/>
  <c r="G52" i="11" s="1"/>
  <c r="D4" i="11"/>
  <c r="D5" i="11" s="1"/>
  <c r="E3" i="11"/>
  <c r="B4" i="11"/>
  <c r="B5" i="11" s="1"/>
  <c r="B6" i="11" s="1"/>
  <c r="C3" i="11"/>
  <c r="F5" i="11" l="1"/>
  <c r="F6" i="11" s="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E5" i="11"/>
  <c r="D6" i="11"/>
  <c r="E4" i="11"/>
  <c r="C4" i="11"/>
  <c r="C6" i="11"/>
  <c r="B7" i="11"/>
  <c r="C5" i="11"/>
  <c r="D7" i="11" l="1"/>
  <c r="E6" i="11"/>
  <c r="B8" i="11"/>
  <c r="C7" i="11"/>
  <c r="E7" i="11" l="1"/>
  <c r="D8" i="11"/>
  <c r="C8" i="11"/>
  <c r="B9" i="11"/>
  <c r="D9" i="11" l="1"/>
  <c r="E8" i="11"/>
  <c r="B10" i="11"/>
  <c r="C9" i="11"/>
  <c r="D10" i="11" l="1"/>
  <c r="E9" i="11"/>
  <c r="B11" i="11"/>
  <c r="C10" i="11"/>
  <c r="E10" i="11" l="1"/>
  <c r="D11" i="11"/>
  <c r="B12" i="11"/>
  <c r="C11" i="11"/>
  <c r="E11" i="11" l="1"/>
  <c r="D12" i="11"/>
  <c r="B13" i="11"/>
  <c r="C12" i="11"/>
  <c r="E12" i="11" l="1"/>
  <c r="D13" i="11"/>
  <c r="B14" i="11"/>
  <c r="C13" i="11"/>
  <c r="D14" i="11" l="1"/>
  <c r="E13" i="11"/>
  <c r="B15" i="11"/>
  <c r="C14" i="11"/>
  <c r="D15" i="11" l="1"/>
  <c r="E14" i="11"/>
  <c r="B16" i="11"/>
  <c r="C15" i="11"/>
  <c r="E15" i="11" l="1"/>
  <c r="D16" i="11"/>
  <c r="C16" i="11"/>
  <c r="B17" i="11"/>
  <c r="D17" i="11" l="1"/>
  <c r="E16" i="11"/>
  <c r="C17" i="11"/>
  <c r="B18" i="11"/>
  <c r="E17" i="11" l="1"/>
  <c r="D18" i="11"/>
  <c r="B19" i="11"/>
  <c r="C18" i="11"/>
  <c r="D19" i="11" l="1"/>
  <c r="E18" i="11"/>
  <c r="B20" i="11"/>
  <c r="C19" i="11"/>
  <c r="E19" i="11" l="1"/>
  <c r="D20" i="11"/>
  <c r="C20" i="11"/>
  <c r="B21" i="11"/>
  <c r="D21" i="11" l="1"/>
  <c r="E20" i="11"/>
  <c r="B22" i="11"/>
  <c r="C21" i="11"/>
  <c r="D22" i="11" l="1"/>
  <c r="E21" i="11"/>
  <c r="C22" i="11"/>
  <c r="B23" i="11"/>
  <c r="E22" i="11" l="1"/>
  <c r="D23" i="11"/>
  <c r="B24" i="11"/>
  <c r="C23" i="11"/>
  <c r="D24" i="11" l="1"/>
  <c r="E23" i="11"/>
  <c r="B25" i="11"/>
  <c r="C24" i="11"/>
  <c r="D25" i="11" l="1"/>
  <c r="E24" i="11"/>
  <c r="B26" i="11"/>
  <c r="C25" i="11"/>
  <c r="E25" i="11" l="1"/>
  <c r="D26" i="11"/>
  <c r="B27" i="11"/>
  <c r="C26" i="11"/>
  <c r="D27" i="11" l="1"/>
  <c r="E26" i="11"/>
  <c r="B28" i="11"/>
  <c r="C27" i="11"/>
  <c r="E27" i="11" l="1"/>
  <c r="D28" i="11"/>
  <c r="C28" i="11"/>
  <c r="B29" i="11"/>
  <c r="D29" i="11" l="1"/>
  <c r="E28" i="11"/>
  <c r="B30" i="11"/>
  <c r="C29" i="11"/>
  <c r="D30" i="11" l="1"/>
  <c r="E29" i="11"/>
  <c r="B31" i="11"/>
  <c r="C30" i="11"/>
  <c r="D31" i="11" l="1"/>
  <c r="E30" i="11"/>
  <c r="B32" i="11"/>
  <c r="C31" i="11"/>
  <c r="E31" i="11" l="1"/>
  <c r="D32" i="11"/>
  <c r="C32" i="11"/>
  <c r="B33" i="11"/>
  <c r="D33" i="11" l="1"/>
  <c r="E32" i="11"/>
  <c r="B34" i="11"/>
  <c r="C33" i="11"/>
  <c r="E33" i="11" l="1"/>
  <c r="D34" i="11"/>
  <c r="B35" i="11"/>
  <c r="C34" i="11"/>
  <c r="D35" i="11" l="1"/>
  <c r="E34" i="11"/>
  <c r="C35" i="11"/>
  <c r="B36" i="11"/>
  <c r="E35" i="11" l="1"/>
  <c r="D36" i="11"/>
  <c r="B37" i="11"/>
  <c r="C36" i="11"/>
  <c r="E36" i="11" l="1"/>
  <c r="D37" i="11"/>
  <c r="B38" i="11"/>
  <c r="C37" i="11"/>
  <c r="E37" i="11" l="1"/>
  <c r="D38" i="11"/>
  <c r="B39" i="11"/>
  <c r="C38" i="11"/>
  <c r="D39" i="11" l="1"/>
  <c r="E38" i="11"/>
  <c r="B40" i="11"/>
  <c r="C39" i="11"/>
  <c r="E39" i="11" l="1"/>
  <c r="D40" i="11"/>
  <c r="C40" i="11"/>
  <c r="B41" i="11"/>
  <c r="D41" i="11" l="1"/>
  <c r="E40" i="11"/>
  <c r="B42" i="11"/>
  <c r="C41" i="11"/>
  <c r="E41" i="11" l="1"/>
  <c r="D42" i="11"/>
  <c r="B43" i="11"/>
  <c r="C42" i="11"/>
  <c r="D43" i="11" l="1"/>
  <c r="E42" i="11"/>
  <c r="B44" i="11"/>
  <c r="C43" i="11"/>
  <c r="D44" i="11" l="1"/>
  <c r="E43" i="11"/>
  <c r="B45" i="11"/>
  <c r="C44" i="11"/>
  <c r="D45" i="11" l="1"/>
  <c r="E44" i="11"/>
  <c r="B46" i="11"/>
  <c r="C45" i="11"/>
  <c r="E45" i="11" l="1"/>
  <c r="D46" i="11"/>
  <c r="B47" i="11"/>
  <c r="C46" i="11"/>
  <c r="E46" i="11" l="1"/>
  <c r="D47" i="11"/>
  <c r="B48" i="11"/>
  <c r="C47" i="11"/>
  <c r="E47" i="11" l="1"/>
  <c r="D48" i="11"/>
  <c r="B49" i="11"/>
  <c r="C48" i="11"/>
  <c r="D49" i="11" l="1"/>
  <c r="E48" i="11"/>
  <c r="B50" i="11"/>
  <c r="C49" i="11"/>
  <c r="E49" i="11" l="1"/>
  <c r="D50" i="11"/>
  <c r="B51" i="11"/>
  <c r="C50" i="11"/>
  <c r="D51" i="11" l="1"/>
  <c r="E50" i="11"/>
  <c r="B52" i="11"/>
  <c r="C52" i="11" s="1"/>
  <c r="C51" i="11"/>
  <c r="E51" i="11" l="1"/>
  <c r="D52" i="11"/>
  <c r="E52" i="11" l="1"/>
  <c r="D53" i="11"/>
  <c r="E53" i="11" l="1"/>
  <c r="D54" i="11"/>
  <c r="D55" i="11" l="1"/>
  <c r="E54" i="11"/>
  <c r="E55" i="11" l="1"/>
  <c r="D56" i="11"/>
  <c r="D57" i="11" l="1"/>
  <c r="E57" i="11" s="1"/>
  <c r="E56" i="11"/>
</calcChain>
</file>

<file path=xl/sharedStrings.xml><?xml version="1.0" encoding="utf-8"?>
<sst xmlns="http://schemas.openxmlformats.org/spreadsheetml/2006/main" count="874" uniqueCount="152">
  <si>
    <t>Structure</t>
  </si>
  <si>
    <t>Easting</t>
  </si>
  <si>
    <t>Northing</t>
  </si>
  <si>
    <t>WTG</t>
  </si>
  <si>
    <t>A04</t>
  </si>
  <si>
    <t>A03</t>
  </si>
  <si>
    <t>E01</t>
  </si>
  <si>
    <t>C06</t>
  </si>
  <si>
    <t>A02</t>
  </si>
  <si>
    <t>B07</t>
  </si>
  <si>
    <t>A05</t>
  </si>
  <si>
    <t>B02</t>
  </si>
  <si>
    <t>B03</t>
  </si>
  <si>
    <t>C07</t>
  </si>
  <si>
    <t>A01</t>
  </si>
  <si>
    <t>B04</t>
  </si>
  <si>
    <t>B05</t>
  </si>
  <si>
    <t>A06</t>
  </si>
  <si>
    <t>B01</t>
  </si>
  <si>
    <t>B08</t>
  </si>
  <si>
    <t>A07</t>
  </si>
  <si>
    <t>B06</t>
  </si>
  <si>
    <t>C01</t>
  </si>
  <si>
    <t>C08</t>
  </si>
  <si>
    <t>A10</t>
  </si>
  <si>
    <t>B09</t>
  </si>
  <si>
    <t>C04</t>
  </si>
  <si>
    <t>C02</t>
  </si>
  <si>
    <t>A11</t>
  </si>
  <si>
    <t>A09</t>
  </si>
  <si>
    <t>E04</t>
  </si>
  <si>
    <t>D03</t>
  </si>
  <si>
    <t>B10</t>
  </si>
  <si>
    <t>D08</t>
  </si>
  <si>
    <t>C03</t>
  </si>
  <si>
    <t>A08</t>
  </si>
  <si>
    <t>E03</t>
  </si>
  <si>
    <t>D02</t>
  </si>
  <si>
    <t>D01</t>
  </si>
  <si>
    <t>D04</t>
  </si>
  <si>
    <t>F03</t>
  </si>
  <si>
    <t>D07</t>
  </si>
  <si>
    <t>D06</t>
  </si>
  <si>
    <t>F05</t>
  </si>
  <si>
    <t>E02</t>
  </si>
  <si>
    <t>E06</t>
  </si>
  <si>
    <t>F04</t>
  </si>
  <si>
    <t>G05</t>
  </si>
  <si>
    <t>G06</t>
  </si>
  <si>
    <t>G07</t>
  </si>
  <si>
    <t>F06</t>
  </si>
  <si>
    <t>F07</t>
  </si>
  <si>
    <t>F08</t>
  </si>
  <si>
    <t>D05</t>
  </si>
  <si>
    <t xml:space="preserve">Shallow location </t>
  </si>
  <si>
    <t xml:space="preserve">Spider location </t>
  </si>
  <si>
    <t>YES</t>
  </si>
  <si>
    <t xml:space="preserve">Aver. Weight[t] </t>
  </si>
  <si>
    <t>WTG ID</t>
  </si>
  <si>
    <t>FOU</t>
  </si>
  <si>
    <t>IAC</t>
  </si>
  <si>
    <t xml:space="preserve">Easy </t>
  </si>
  <si>
    <t>NO</t>
  </si>
  <si>
    <r>
      <t xml:space="preserve">Location ID 
</t>
    </r>
    <r>
      <rPr>
        <i/>
        <sz val="10"/>
        <color theme="0"/>
        <rFont val="Calibri"/>
        <family val="2"/>
      </rPr>
      <t>(Cable start-point)</t>
    </r>
  </si>
  <si>
    <r>
      <t xml:space="preserve">Location ID 
</t>
    </r>
    <r>
      <rPr>
        <sz val="10"/>
        <color theme="0"/>
        <rFont val="Calibri"/>
        <family val="2"/>
      </rPr>
      <t>(Cable end-point)</t>
    </r>
  </si>
  <si>
    <t>OSS</t>
  </si>
  <si>
    <t>Jacking difficulty WTG</t>
  </si>
  <si>
    <t>Cable ID</t>
  </si>
  <si>
    <t>String ID</t>
  </si>
  <si>
    <t>Loop ID</t>
  </si>
  <si>
    <t>A1:OSS-F07A</t>
  </si>
  <si>
    <t>A</t>
  </si>
  <si>
    <t>AB</t>
  </si>
  <si>
    <t>A2:F07A-G07A</t>
  </si>
  <si>
    <t>A3:G07A-G06A</t>
  </si>
  <si>
    <t>A4:G06A-G05A</t>
  </si>
  <si>
    <t>A5:G05A-F04A</t>
  </si>
  <si>
    <t>XAB:F04A-F03B</t>
  </si>
  <si>
    <t>B5:F03B-E02B</t>
  </si>
  <si>
    <t>B</t>
  </si>
  <si>
    <t>B4:E02B-E04B</t>
  </si>
  <si>
    <t>B3:E04B-F05B</t>
  </si>
  <si>
    <t>B2:F05B-F06B</t>
  </si>
  <si>
    <t>B1:F06B-OSS</t>
  </si>
  <si>
    <t>C1:0SS-E06C</t>
  </si>
  <si>
    <t>C</t>
  </si>
  <si>
    <t>CD</t>
  </si>
  <si>
    <t>C2:E06C-E03C</t>
  </si>
  <si>
    <t>C3:E03C-D02C</t>
  </si>
  <si>
    <t>C4:D02C-E01C</t>
  </si>
  <si>
    <t>C5:E01C-D01C</t>
  </si>
  <si>
    <t>XCD:D01C-C01D</t>
  </si>
  <si>
    <t>D5:C01D-B01D</t>
  </si>
  <si>
    <t>D</t>
  </si>
  <si>
    <t>D4:B01D-C02D</t>
  </si>
  <si>
    <t>D3:C02D-D03D</t>
  </si>
  <si>
    <t>D2:D03D-D04D</t>
  </si>
  <si>
    <t>D1:D04D-OSS</t>
  </si>
  <si>
    <t>E</t>
  </si>
  <si>
    <t>EF</t>
  </si>
  <si>
    <t>F</t>
  </si>
  <si>
    <t>F1:D06F-OSS</t>
  </si>
  <si>
    <t>G1:OSS-C06G</t>
  </si>
  <si>
    <t>G</t>
  </si>
  <si>
    <t>GH</t>
  </si>
  <si>
    <t>G2:C06G-B06G</t>
  </si>
  <si>
    <t>G3:B06G-B05G</t>
  </si>
  <si>
    <t>G4:B05G-A04G</t>
  </si>
  <si>
    <t>G5:A04G-A05G</t>
  </si>
  <si>
    <t>XGH:A05G-A06H</t>
  </si>
  <si>
    <t>H5:A06H-A07H</t>
  </si>
  <si>
    <t>H</t>
  </si>
  <si>
    <t>H4:A07H-B07H</t>
  </si>
  <si>
    <t>H3:B07H-C07H</t>
  </si>
  <si>
    <t>H2:C07H-D07H</t>
  </si>
  <si>
    <t>H1:D07H-OSS</t>
  </si>
  <si>
    <t>J1:OSS-C08J</t>
  </si>
  <si>
    <t>J</t>
  </si>
  <si>
    <t>JK</t>
  </si>
  <si>
    <t>J2:C08J-B08J</t>
  </si>
  <si>
    <t>J3:B08J-A08J</t>
  </si>
  <si>
    <t>J4:A08J-A09J</t>
  </si>
  <si>
    <t>J5:A09J-A10J</t>
  </si>
  <si>
    <t>XJK:A10J-A11K</t>
  </si>
  <si>
    <t>K5:A11K-B10K</t>
  </si>
  <si>
    <t>K</t>
  </si>
  <si>
    <t>K4:B10K-B09K</t>
  </si>
  <si>
    <t>K3:B09K-D08K</t>
  </si>
  <si>
    <t>K2:D08K-F08K</t>
  </si>
  <si>
    <t>K1:F08K-OSSK</t>
  </si>
  <si>
    <t>Soil difficulty</t>
  </si>
  <si>
    <t>Punch through</t>
  </si>
  <si>
    <t>Jacking Difficulty</t>
  </si>
  <si>
    <t xml:space="preserve">Delivery Batch </t>
  </si>
  <si>
    <t>Include</t>
  </si>
  <si>
    <t>Length[m]</t>
  </si>
  <si>
    <t>Eccentricity Limit</t>
  </si>
  <si>
    <t xml:space="preserve">Location </t>
  </si>
  <si>
    <t xml:space="preserve">P50 Start </t>
  </si>
  <si>
    <t xml:space="preserve">P50 End </t>
  </si>
  <si>
    <t xml:space="preserve">Spider Cable </t>
  </si>
  <si>
    <t>Nickname</t>
  </si>
  <si>
    <t>E1:OSS-D05E</t>
  </si>
  <si>
    <t>E2:D05E-C04E</t>
  </si>
  <si>
    <t>E3:C04E-C03E</t>
  </si>
  <si>
    <t>E4:C03E-B02E</t>
  </si>
  <si>
    <t>E5:B02E-A01E</t>
  </si>
  <si>
    <t>XEF:A01E-A02E</t>
  </si>
  <si>
    <t>F5: A02E-A03F</t>
  </si>
  <si>
    <t>F4:A03F-B03F</t>
  </si>
  <si>
    <t>F3:B03F-B04F</t>
  </si>
  <si>
    <t>F2:B04F-D06F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</si>
</sst>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i/>
      <sz val="10"/>
      <color theme="0"/>
      <name val="Calibri"/>
      <family val="2"/>
    </font>
    <font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A8B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2" xfId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3" fillId="0" borderId="11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" xfId="0" applyBorder="1"/>
    <xf numFmtId="1" fontId="0" fillId="0" borderId="13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3" fillId="0" borderId="14" xfId="1" applyBorder="1" applyAlignment="1">
      <alignment horizontal="center" vertical="center"/>
    </xf>
    <xf numFmtId="0" fontId="3" fillId="0" borderId="15" xfId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16" xfId="1" applyBorder="1" applyAlignment="1">
      <alignment horizontal="center" vertical="center"/>
    </xf>
    <xf numFmtId="0" fontId="3" fillId="0" borderId="17" xfId="1" applyBorder="1" applyAlignment="1">
      <alignment horizontal="center" vertical="center"/>
    </xf>
    <xf numFmtId="0" fontId="3" fillId="0" borderId="18" xfId="1" applyBorder="1" applyAlignment="1">
      <alignment horizontal="center" vertical="center"/>
    </xf>
    <xf numFmtId="0" fontId="3" fillId="0" borderId="13" xfId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3" fillId="0" borderId="21" xfId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4" xfId="1" xr:uid="{A91AE472-9ECA-4025-A6F4-3DF0B51A5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A8D4-BAA5-468E-B97E-DC4F4ED9B933}">
  <dimension ref="A1:N57"/>
  <sheetViews>
    <sheetView tabSelected="1" zoomScaleNormal="100" workbookViewId="0">
      <selection activeCell="K34" sqref="K34"/>
    </sheetView>
  </sheetViews>
  <sheetFormatPr defaultRowHeight="14.5" x14ac:dyDescent="0.35"/>
  <cols>
    <col min="1" max="1" width="13.26953125" bestFit="1" customWidth="1"/>
    <col min="2" max="2" width="8.90625" customWidth="1"/>
    <col min="4" max="4" width="9.36328125" bestFit="1" customWidth="1"/>
    <col min="5" max="5" width="10.36328125" bestFit="1" customWidth="1"/>
    <col min="6" max="8" width="15.26953125" style="2" customWidth="1"/>
    <col min="9" max="9" width="14.453125" customWidth="1"/>
    <col min="10" max="10" width="16" bestFit="1" customWidth="1"/>
    <col min="11" max="11" width="16" customWidth="1"/>
    <col min="12" max="12" width="20.1796875" bestFit="1" customWidth="1"/>
    <col min="13" max="13" width="18" customWidth="1"/>
    <col min="14" max="14" width="20.54296875" bestFit="1" customWidth="1"/>
  </cols>
  <sheetData>
    <row r="1" spans="1:14" x14ac:dyDescent="0.35">
      <c r="A1" s="6" t="s">
        <v>58</v>
      </c>
      <c r="B1" s="6" t="s">
        <v>134</v>
      </c>
      <c r="C1" s="6" t="s">
        <v>0</v>
      </c>
      <c r="D1" s="6" t="s">
        <v>1</v>
      </c>
      <c r="E1" s="6" t="s">
        <v>2</v>
      </c>
      <c r="F1" s="6" t="s">
        <v>57</v>
      </c>
      <c r="G1" s="6" t="s">
        <v>135</v>
      </c>
      <c r="H1" s="6" t="s">
        <v>133</v>
      </c>
      <c r="I1" s="6" t="s">
        <v>55</v>
      </c>
      <c r="J1" s="6" t="s">
        <v>54</v>
      </c>
      <c r="K1" s="6" t="s">
        <v>130</v>
      </c>
      <c r="L1" s="6" t="s">
        <v>132</v>
      </c>
      <c r="M1" s="6" t="s">
        <v>131</v>
      </c>
      <c r="N1" s="6" t="s">
        <v>136</v>
      </c>
    </row>
    <row r="2" spans="1:14" x14ac:dyDescent="0.35">
      <c r="A2" s="1" t="s">
        <v>14</v>
      </c>
      <c r="B2" s="1" t="s">
        <v>56</v>
      </c>
      <c r="C2" s="1" t="s">
        <v>3</v>
      </c>
      <c r="D2" s="15">
        <v>443088.8027</v>
      </c>
      <c r="E2" s="15">
        <v>5926740.4285000004</v>
      </c>
      <c r="F2" s="5">
        <v>7385.8413333333338</v>
      </c>
      <c r="G2" s="5"/>
      <c r="H2" s="5"/>
      <c r="I2" s="4" t="s">
        <v>62</v>
      </c>
      <c r="J2" s="4" t="s">
        <v>62</v>
      </c>
      <c r="K2" s="4"/>
      <c r="L2" s="4"/>
      <c r="M2" s="4"/>
      <c r="N2" s="23"/>
    </row>
    <row r="3" spans="1:14" x14ac:dyDescent="0.35">
      <c r="A3" s="1" t="s">
        <v>8</v>
      </c>
      <c r="B3" s="1" t="s">
        <v>56</v>
      </c>
      <c r="C3" s="1" t="s">
        <v>3</v>
      </c>
      <c r="D3" s="15">
        <v>444853.66460000002</v>
      </c>
      <c r="E3" s="15">
        <v>5926754.4106999999</v>
      </c>
      <c r="F3" s="5">
        <v>7697.3633333333337</v>
      </c>
      <c r="G3" s="5"/>
      <c r="H3" s="5"/>
      <c r="I3" s="4" t="s">
        <v>62</v>
      </c>
      <c r="J3" s="4" t="s">
        <v>62</v>
      </c>
      <c r="K3" s="4"/>
      <c r="L3" s="4"/>
      <c r="M3" s="4"/>
      <c r="N3" s="23"/>
    </row>
    <row r="4" spans="1:14" x14ac:dyDescent="0.35">
      <c r="A4" s="1" t="s">
        <v>5</v>
      </c>
      <c r="B4" s="1" t="s">
        <v>56</v>
      </c>
      <c r="C4" s="1" t="s">
        <v>3</v>
      </c>
      <c r="D4" s="15">
        <v>446248.53989999997</v>
      </c>
      <c r="E4" s="15">
        <v>5926765.4616999999</v>
      </c>
      <c r="F4" s="5">
        <v>7791.7053333333342</v>
      </c>
      <c r="G4" s="5"/>
      <c r="H4" s="5"/>
      <c r="I4" s="4" t="s">
        <v>62</v>
      </c>
      <c r="J4" s="4" t="s">
        <v>62</v>
      </c>
      <c r="K4" s="4"/>
      <c r="L4" s="4"/>
      <c r="M4" s="4"/>
      <c r="N4" s="23"/>
    </row>
    <row r="5" spans="1:14" x14ac:dyDescent="0.35">
      <c r="A5" s="1" t="s">
        <v>4</v>
      </c>
      <c r="B5" s="1" t="s">
        <v>56</v>
      </c>
      <c r="C5" s="1" t="s">
        <v>3</v>
      </c>
      <c r="D5" s="15">
        <v>447643.73979999998</v>
      </c>
      <c r="E5" s="15">
        <v>5926776.5153000001</v>
      </c>
      <c r="F5" s="5">
        <v>7522.3746666666666</v>
      </c>
      <c r="G5" s="5"/>
      <c r="H5" s="5"/>
      <c r="I5" s="4" t="s">
        <v>62</v>
      </c>
      <c r="J5" s="4" t="s">
        <v>62</v>
      </c>
      <c r="K5" s="4"/>
      <c r="L5" s="4"/>
      <c r="M5" s="4"/>
      <c r="N5" s="23"/>
    </row>
    <row r="6" spans="1:14" x14ac:dyDescent="0.35">
      <c r="A6" s="1" t="s">
        <v>10</v>
      </c>
      <c r="B6" s="1" t="s">
        <v>56</v>
      </c>
      <c r="C6" s="1" t="s">
        <v>3</v>
      </c>
      <c r="D6" s="15">
        <v>449082.30219999998</v>
      </c>
      <c r="E6" s="15">
        <v>5926787.9123999998</v>
      </c>
      <c r="F6" s="5">
        <v>7661.7380000000003</v>
      </c>
      <c r="G6" s="5"/>
      <c r="H6" s="5"/>
      <c r="I6" s="4" t="s">
        <v>62</v>
      </c>
      <c r="J6" s="4" t="s">
        <v>62</v>
      </c>
      <c r="K6" s="4"/>
      <c r="L6" s="4"/>
      <c r="M6" s="4"/>
      <c r="N6" s="23"/>
    </row>
    <row r="7" spans="1:14" x14ac:dyDescent="0.35">
      <c r="A7" s="1" t="s">
        <v>17</v>
      </c>
      <c r="B7" s="1" t="s">
        <v>56</v>
      </c>
      <c r="C7" s="1" t="s">
        <v>3</v>
      </c>
      <c r="D7" s="15">
        <v>450468.3934</v>
      </c>
      <c r="E7" s="15">
        <v>5926798.8937999997</v>
      </c>
      <c r="F7" s="5">
        <v>7416.1686666666674</v>
      </c>
      <c r="G7" s="5"/>
      <c r="H7" s="5"/>
      <c r="I7" s="4" t="s">
        <v>62</v>
      </c>
      <c r="J7" s="4" t="s">
        <v>62</v>
      </c>
      <c r="K7" s="4"/>
      <c r="L7" s="4"/>
      <c r="M7" s="4"/>
      <c r="N7" s="23"/>
    </row>
    <row r="8" spans="1:14" x14ac:dyDescent="0.35">
      <c r="A8" s="1" t="s">
        <v>20</v>
      </c>
      <c r="B8" s="1" t="s">
        <v>56</v>
      </c>
      <c r="C8" s="1" t="s">
        <v>3</v>
      </c>
      <c r="D8" s="15">
        <v>451965.5601</v>
      </c>
      <c r="E8" s="15">
        <v>5926816.5809000004</v>
      </c>
      <c r="F8" s="5">
        <v>7664.57</v>
      </c>
      <c r="G8" s="5"/>
      <c r="H8" s="5"/>
      <c r="I8" s="4" t="s">
        <v>62</v>
      </c>
      <c r="J8" s="4" t="s">
        <v>62</v>
      </c>
      <c r="K8" s="4"/>
      <c r="L8" s="4"/>
      <c r="M8" s="4"/>
      <c r="N8" s="23"/>
    </row>
    <row r="9" spans="1:14" x14ac:dyDescent="0.35">
      <c r="A9" s="1" t="s">
        <v>35</v>
      </c>
      <c r="B9" s="1" t="s">
        <v>56</v>
      </c>
      <c r="C9" s="1" t="s">
        <v>3</v>
      </c>
      <c r="D9" s="15">
        <v>453344.40120000002</v>
      </c>
      <c r="E9" s="15">
        <v>5926821.4907999998</v>
      </c>
      <c r="F9" s="5">
        <v>7280.9006666666673</v>
      </c>
      <c r="G9" s="5"/>
      <c r="H9" s="5"/>
      <c r="I9" s="4" t="s">
        <v>62</v>
      </c>
      <c r="J9" s="4" t="s">
        <v>62</v>
      </c>
      <c r="K9" s="4"/>
      <c r="L9" s="4"/>
      <c r="M9" s="4"/>
      <c r="N9" s="23"/>
    </row>
    <row r="10" spans="1:14" x14ac:dyDescent="0.35">
      <c r="A10" s="1" t="s">
        <v>29</v>
      </c>
      <c r="B10" s="1" t="s">
        <v>56</v>
      </c>
      <c r="C10" s="1" t="s">
        <v>3</v>
      </c>
      <c r="D10" s="15">
        <v>454701.1911</v>
      </c>
      <c r="E10" s="15">
        <v>5926832.1205000002</v>
      </c>
      <c r="F10" s="5">
        <v>7287.6940000000004</v>
      </c>
      <c r="G10" s="5"/>
      <c r="H10" s="5"/>
      <c r="I10" s="4" t="s">
        <v>62</v>
      </c>
      <c r="J10" s="4" t="s">
        <v>62</v>
      </c>
      <c r="K10" s="4"/>
      <c r="L10" s="4"/>
      <c r="M10" s="4"/>
      <c r="N10" s="23"/>
    </row>
    <row r="11" spans="1:14" x14ac:dyDescent="0.35">
      <c r="A11" s="1" t="s">
        <v>24</v>
      </c>
      <c r="B11" s="1" t="s">
        <v>56</v>
      </c>
      <c r="C11" s="1" t="s">
        <v>3</v>
      </c>
      <c r="D11" s="15">
        <v>455951.71789999999</v>
      </c>
      <c r="E11" s="15">
        <v>5926841.9177000001</v>
      </c>
      <c r="F11" s="5">
        <v>7305.0273333333344</v>
      </c>
      <c r="G11" s="5"/>
      <c r="H11" s="5"/>
      <c r="I11" s="4" t="s">
        <v>62</v>
      </c>
      <c r="J11" s="4" t="s">
        <v>62</v>
      </c>
      <c r="K11" s="4"/>
      <c r="L11" s="4"/>
      <c r="M11" s="4"/>
      <c r="N11" s="23"/>
    </row>
    <row r="12" spans="1:14" x14ac:dyDescent="0.35">
      <c r="A12" s="1" t="s">
        <v>28</v>
      </c>
      <c r="B12" s="1" t="s">
        <v>56</v>
      </c>
      <c r="C12" s="1" t="s">
        <v>3</v>
      </c>
      <c r="D12" s="15">
        <v>457206.77889999998</v>
      </c>
      <c r="E12" s="15">
        <v>5926851.7503000004</v>
      </c>
      <c r="F12" s="5">
        <v>7285.2280000000001</v>
      </c>
      <c r="G12" s="5"/>
      <c r="H12" s="5"/>
      <c r="I12" s="4" t="s">
        <v>62</v>
      </c>
      <c r="J12" s="4" t="s">
        <v>62</v>
      </c>
      <c r="K12" s="4"/>
      <c r="L12" s="4"/>
      <c r="M12" s="4"/>
      <c r="N12" s="23"/>
    </row>
    <row r="13" spans="1:14" x14ac:dyDescent="0.35">
      <c r="A13" s="1" t="s">
        <v>18</v>
      </c>
      <c r="B13" s="1" t="s">
        <v>56</v>
      </c>
      <c r="C13" s="1" t="s">
        <v>3</v>
      </c>
      <c r="D13" s="15">
        <v>443092.87349999999</v>
      </c>
      <c r="E13" s="15">
        <v>5925672.8383999998</v>
      </c>
      <c r="F13" s="5">
        <v>7357.4726666666656</v>
      </c>
      <c r="G13" s="5"/>
      <c r="H13" s="5"/>
      <c r="I13" s="4" t="s">
        <v>62</v>
      </c>
      <c r="J13" s="4" t="s">
        <v>62</v>
      </c>
      <c r="K13" s="4"/>
      <c r="L13" s="4"/>
      <c r="M13" s="4"/>
      <c r="N13" s="23"/>
    </row>
    <row r="14" spans="1:14" x14ac:dyDescent="0.35">
      <c r="A14" s="1" t="s">
        <v>11</v>
      </c>
      <c r="B14" s="1" t="s">
        <v>56</v>
      </c>
      <c r="C14" s="1" t="s">
        <v>3</v>
      </c>
      <c r="D14" s="15">
        <v>444858.09419999999</v>
      </c>
      <c r="E14" s="15">
        <v>5925722.3081999999</v>
      </c>
      <c r="F14" s="5">
        <v>7413.6613333333335</v>
      </c>
      <c r="G14" s="5"/>
      <c r="H14" s="5"/>
      <c r="I14" s="4" t="s">
        <v>62</v>
      </c>
      <c r="J14" s="4" t="s">
        <v>62</v>
      </c>
      <c r="K14" s="4"/>
      <c r="L14" s="4"/>
      <c r="M14" s="4"/>
      <c r="N14" s="23"/>
    </row>
    <row r="15" spans="1:14" x14ac:dyDescent="0.35">
      <c r="A15" s="1" t="s">
        <v>12</v>
      </c>
      <c r="B15" s="1" t="s">
        <v>56</v>
      </c>
      <c r="C15" s="1" t="s">
        <v>3</v>
      </c>
      <c r="D15" s="15">
        <v>446306.804</v>
      </c>
      <c r="E15" s="15">
        <v>5925744.102</v>
      </c>
      <c r="F15" s="5">
        <v>7657.8353333333334</v>
      </c>
      <c r="G15" s="5"/>
      <c r="H15" s="5"/>
      <c r="I15" s="4" t="s">
        <v>62</v>
      </c>
      <c r="J15" s="4" t="s">
        <v>62</v>
      </c>
      <c r="K15" s="4"/>
      <c r="L15" s="4"/>
      <c r="M15" s="4"/>
      <c r="N15" s="23"/>
    </row>
    <row r="16" spans="1:14" x14ac:dyDescent="0.35">
      <c r="A16" s="1" t="s">
        <v>15</v>
      </c>
      <c r="B16" s="1" t="s">
        <v>56</v>
      </c>
      <c r="C16" s="1" t="s">
        <v>3</v>
      </c>
      <c r="D16" s="15">
        <v>447647.41399999999</v>
      </c>
      <c r="E16" s="15">
        <v>5925598.8696999997</v>
      </c>
      <c r="F16" s="5">
        <v>7392.1746666666668</v>
      </c>
      <c r="G16" s="5"/>
      <c r="H16" s="5"/>
      <c r="I16" s="4" t="s">
        <v>62</v>
      </c>
      <c r="J16" s="4" t="s">
        <v>62</v>
      </c>
      <c r="K16" s="4"/>
      <c r="L16" s="4"/>
      <c r="M16" s="4"/>
      <c r="N16" s="23"/>
    </row>
    <row r="17" spans="1:14" x14ac:dyDescent="0.35">
      <c r="A17" s="1" t="s">
        <v>16</v>
      </c>
      <c r="B17" s="1" t="s">
        <v>56</v>
      </c>
      <c r="C17" s="1" t="s">
        <v>3</v>
      </c>
      <c r="D17" s="15">
        <v>449118.62310000003</v>
      </c>
      <c r="E17" s="15">
        <v>5925760.5027999999</v>
      </c>
      <c r="F17" s="5">
        <v>7708.5639999999994</v>
      </c>
      <c r="G17" s="5"/>
      <c r="H17" s="5"/>
      <c r="I17" s="4" t="s">
        <v>62</v>
      </c>
      <c r="J17" s="4" t="s">
        <v>62</v>
      </c>
      <c r="K17" s="4"/>
      <c r="L17" s="4"/>
      <c r="M17" s="4"/>
      <c r="N17" s="23"/>
    </row>
    <row r="18" spans="1:14" x14ac:dyDescent="0.35">
      <c r="A18" s="1" t="s">
        <v>21</v>
      </c>
      <c r="B18" s="1" t="s">
        <v>56</v>
      </c>
      <c r="C18" s="1" t="s">
        <v>3</v>
      </c>
      <c r="D18" s="15">
        <v>450501.1079</v>
      </c>
      <c r="E18" s="15">
        <v>5925750.5869000005</v>
      </c>
      <c r="F18" s="5">
        <v>7636.3753333333334</v>
      </c>
      <c r="G18" s="5"/>
      <c r="H18" s="5"/>
      <c r="I18" s="4" t="s">
        <v>62</v>
      </c>
      <c r="J18" s="4" t="s">
        <v>62</v>
      </c>
      <c r="K18" s="4"/>
      <c r="L18" s="4"/>
      <c r="M18" s="4"/>
      <c r="N18" s="23"/>
    </row>
    <row r="19" spans="1:14" x14ac:dyDescent="0.35">
      <c r="A19" s="1" t="s">
        <v>9</v>
      </c>
      <c r="B19" s="1" t="s">
        <v>56</v>
      </c>
      <c r="C19" s="1" t="s">
        <v>3</v>
      </c>
      <c r="D19" s="15">
        <v>451884.2303</v>
      </c>
      <c r="E19" s="15">
        <v>5925707.2302000001</v>
      </c>
      <c r="F19" s="5">
        <v>7418.6966666666667</v>
      </c>
      <c r="G19" s="5"/>
      <c r="H19" s="5"/>
      <c r="I19" s="4" t="s">
        <v>62</v>
      </c>
      <c r="J19" s="4" t="s">
        <v>62</v>
      </c>
      <c r="K19" s="4"/>
      <c r="L19" s="4"/>
      <c r="M19" s="4"/>
      <c r="N19" s="23"/>
    </row>
    <row r="20" spans="1:14" x14ac:dyDescent="0.35">
      <c r="A20" s="1" t="s">
        <v>19</v>
      </c>
      <c r="B20" s="1" t="s">
        <v>56</v>
      </c>
      <c r="C20" s="1" t="s">
        <v>3</v>
      </c>
      <c r="D20" s="15">
        <v>453171.92200000002</v>
      </c>
      <c r="E20" s="15">
        <v>5925473.7775999997</v>
      </c>
      <c r="F20" s="5">
        <v>7298.2633333333333</v>
      </c>
      <c r="G20" s="5"/>
      <c r="H20" s="5"/>
      <c r="I20" s="4" t="s">
        <v>62</v>
      </c>
      <c r="J20" s="4" t="s">
        <v>62</v>
      </c>
      <c r="K20" s="4"/>
      <c r="L20" s="4"/>
      <c r="M20" s="4"/>
      <c r="N20" s="23"/>
    </row>
    <row r="21" spans="1:14" x14ac:dyDescent="0.35">
      <c r="A21" s="1" t="s">
        <v>25</v>
      </c>
      <c r="B21" s="1" t="s">
        <v>56</v>
      </c>
      <c r="C21" s="1" t="s">
        <v>3</v>
      </c>
      <c r="D21" s="15">
        <v>454541.50530000002</v>
      </c>
      <c r="E21" s="15">
        <v>5925538.8964</v>
      </c>
      <c r="F21" s="5">
        <v>7358.938666666666</v>
      </c>
      <c r="G21" s="5"/>
      <c r="H21" s="5"/>
      <c r="I21" s="4" t="s">
        <v>62</v>
      </c>
      <c r="J21" s="4" t="s">
        <v>62</v>
      </c>
      <c r="K21" s="4"/>
      <c r="L21" s="4"/>
      <c r="M21" s="4"/>
      <c r="N21" s="23"/>
    </row>
    <row r="22" spans="1:14" x14ac:dyDescent="0.35">
      <c r="A22" s="1" t="s">
        <v>32</v>
      </c>
      <c r="B22" s="1" t="s">
        <v>56</v>
      </c>
      <c r="C22" s="1" t="s">
        <v>3</v>
      </c>
      <c r="D22" s="15">
        <v>455865.59909999999</v>
      </c>
      <c r="E22" s="15">
        <v>5925738.2577999998</v>
      </c>
      <c r="F22" s="5">
        <v>7209.4139999999998</v>
      </c>
      <c r="G22" s="5"/>
      <c r="H22" s="5"/>
      <c r="I22" s="4" t="s">
        <v>62</v>
      </c>
      <c r="J22" s="4" t="s">
        <v>62</v>
      </c>
      <c r="K22" s="4"/>
      <c r="L22" s="4"/>
      <c r="M22" s="4"/>
      <c r="N22" s="23"/>
    </row>
    <row r="23" spans="1:14" x14ac:dyDescent="0.35">
      <c r="A23" s="1" t="s">
        <v>22</v>
      </c>
      <c r="B23" s="1" t="s">
        <v>56</v>
      </c>
      <c r="C23" s="1" t="s">
        <v>3</v>
      </c>
      <c r="D23" s="15">
        <v>443097.15230000002</v>
      </c>
      <c r="E23" s="15">
        <v>5924550.3740999997</v>
      </c>
      <c r="F23" s="5">
        <v>7302.52</v>
      </c>
      <c r="G23" s="5"/>
      <c r="H23" s="5"/>
      <c r="I23" s="4" t="s">
        <v>62</v>
      </c>
      <c r="J23" s="4" t="s">
        <v>62</v>
      </c>
      <c r="K23" s="4"/>
      <c r="L23" s="4"/>
      <c r="M23" s="4"/>
      <c r="N23" s="23"/>
    </row>
    <row r="24" spans="1:14" x14ac:dyDescent="0.35">
      <c r="A24" s="1" t="s">
        <v>27</v>
      </c>
      <c r="B24" s="1" t="s">
        <v>56</v>
      </c>
      <c r="C24" s="1" t="s">
        <v>3</v>
      </c>
      <c r="D24" s="15">
        <v>444695.2438</v>
      </c>
      <c r="E24" s="15">
        <v>5924530.9869999997</v>
      </c>
      <c r="F24" s="5">
        <v>7328.3693333333331</v>
      </c>
      <c r="G24" s="5"/>
      <c r="H24" s="5"/>
      <c r="I24" s="4" t="s">
        <v>62</v>
      </c>
      <c r="J24" s="4" t="s">
        <v>62</v>
      </c>
      <c r="K24" s="4"/>
      <c r="L24" s="4"/>
      <c r="M24" s="4"/>
      <c r="N24" s="23"/>
    </row>
    <row r="25" spans="1:14" x14ac:dyDescent="0.35">
      <c r="A25" s="1" t="s">
        <v>34</v>
      </c>
      <c r="B25" s="1" t="s">
        <v>56</v>
      </c>
      <c r="C25" s="1" t="s">
        <v>3</v>
      </c>
      <c r="D25" s="15">
        <v>446137.12390000001</v>
      </c>
      <c r="E25" s="15">
        <v>5924621.1495000003</v>
      </c>
      <c r="F25" s="5">
        <v>7237.9006666666673</v>
      </c>
      <c r="G25" s="5"/>
      <c r="H25" s="5"/>
      <c r="I25" s="4" t="s">
        <v>62</v>
      </c>
      <c r="J25" s="4" t="s">
        <v>62</v>
      </c>
      <c r="K25" s="4"/>
      <c r="L25" s="4"/>
      <c r="M25" s="4"/>
      <c r="N25" s="23"/>
    </row>
    <row r="26" spans="1:14" x14ac:dyDescent="0.35">
      <c r="A26" s="1" t="s">
        <v>26</v>
      </c>
      <c r="B26" s="1" t="s">
        <v>56</v>
      </c>
      <c r="C26" s="1" t="s">
        <v>3</v>
      </c>
      <c r="D26" s="15">
        <v>447559.76929999999</v>
      </c>
      <c r="E26" s="15">
        <v>5924472.1304000001</v>
      </c>
      <c r="F26" s="5">
        <v>7294.894666666667</v>
      </c>
      <c r="G26" s="5"/>
      <c r="H26" s="5"/>
      <c r="I26" s="4" t="s">
        <v>62</v>
      </c>
      <c r="J26" s="4" t="s">
        <v>62</v>
      </c>
      <c r="K26" s="4"/>
      <c r="L26" s="4"/>
      <c r="M26" s="4"/>
      <c r="N26" s="23"/>
    </row>
    <row r="27" spans="1:14" x14ac:dyDescent="0.35">
      <c r="A27" s="1" t="s">
        <v>7</v>
      </c>
      <c r="B27" s="1" t="s">
        <v>56</v>
      </c>
      <c r="C27" s="1" t="s">
        <v>3</v>
      </c>
      <c r="D27" s="15">
        <v>450377.15769999998</v>
      </c>
      <c r="E27" s="15">
        <v>5924652.8443</v>
      </c>
      <c r="F27" s="5">
        <v>7656.3133333333344</v>
      </c>
      <c r="G27" s="5"/>
      <c r="H27" s="5"/>
      <c r="I27" s="4" t="s">
        <v>56</v>
      </c>
      <c r="J27" s="4" t="s">
        <v>62</v>
      </c>
      <c r="K27" s="4"/>
      <c r="L27" s="4"/>
      <c r="M27" s="4"/>
      <c r="N27" s="23"/>
    </row>
    <row r="28" spans="1:14" x14ac:dyDescent="0.35">
      <c r="A28" s="1" t="s">
        <v>13</v>
      </c>
      <c r="B28" s="1" t="s">
        <v>56</v>
      </c>
      <c r="C28" s="1" t="s">
        <v>3</v>
      </c>
      <c r="D28" s="15">
        <v>451769.35249999998</v>
      </c>
      <c r="E28" s="15">
        <v>5924460.3476999998</v>
      </c>
      <c r="F28" s="5">
        <v>7505.174</v>
      </c>
      <c r="G28" s="5"/>
      <c r="H28" s="5"/>
      <c r="I28" s="4" t="s">
        <v>62</v>
      </c>
      <c r="J28" s="4" t="s">
        <v>62</v>
      </c>
      <c r="K28" s="4"/>
      <c r="L28" s="4"/>
      <c r="M28" s="4"/>
      <c r="N28" s="23"/>
    </row>
    <row r="29" spans="1:14" x14ac:dyDescent="0.35">
      <c r="A29" s="1" t="s">
        <v>23</v>
      </c>
      <c r="B29" s="1" t="s">
        <v>56</v>
      </c>
      <c r="C29" s="1" t="s">
        <v>3</v>
      </c>
      <c r="D29" s="15">
        <v>453148.55459999997</v>
      </c>
      <c r="E29" s="15">
        <v>5924363.7493000003</v>
      </c>
      <c r="F29" s="5">
        <v>7348.2719999999999</v>
      </c>
      <c r="G29" s="5"/>
      <c r="H29" s="5"/>
      <c r="I29" s="4" t="s">
        <v>56</v>
      </c>
      <c r="J29" s="4" t="s">
        <v>62</v>
      </c>
      <c r="K29" s="4"/>
      <c r="L29" s="4"/>
      <c r="M29" s="4"/>
      <c r="N29" s="23"/>
    </row>
    <row r="30" spans="1:14" x14ac:dyDescent="0.35">
      <c r="A30" s="1" t="s">
        <v>38</v>
      </c>
      <c r="B30" s="1" t="s">
        <v>56</v>
      </c>
      <c r="C30" s="1" t="s">
        <v>3</v>
      </c>
      <c r="D30" s="15">
        <v>443101.7856</v>
      </c>
      <c r="E30" s="15">
        <v>5923335.0530000003</v>
      </c>
      <c r="F30" s="5">
        <v>7272.3606666666674</v>
      </c>
      <c r="G30" s="5"/>
      <c r="H30" s="5"/>
      <c r="I30" s="4" t="s">
        <v>62</v>
      </c>
      <c r="J30" s="4" t="s">
        <v>62</v>
      </c>
      <c r="K30" s="4"/>
      <c r="L30" s="4"/>
      <c r="M30" s="4"/>
      <c r="N30" s="23"/>
    </row>
    <row r="31" spans="1:14" x14ac:dyDescent="0.35">
      <c r="A31" s="1" t="s">
        <v>37</v>
      </c>
      <c r="B31" s="1" t="s">
        <v>56</v>
      </c>
      <c r="C31" s="1" t="s">
        <v>3</v>
      </c>
      <c r="D31" s="15">
        <v>444609.62439999997</v>
      </c>
      <c r="E31" s="15">
        <v>5922980.8535000002</v>
      </c>
      <c r="F31" s="5">
        <v>7195.5113333333329</v>
      </c>
      <c r="G31" s="5"/>
      <c r="H31" s="5"/>
      <c r="I31" s="4" t="s">
        <v>62</v>
      </c>
      <c r="J31" s="4" t="s">
        <v>62</v>
      </c>
      <c r="K31" s="4"/>
      <c r="L31" s="4"/>
      <c r="M31" s="4"/>
      <c r="N31" s="23"/>
    </row>
    <row r="32" spans="1:14" x14ac:dyDescent="0.35">
      <c r="A32" s="1" t="s">
        <v>31</v>
      </c>
      <c r="B32" s="1" t="s">
        <v>56</v>
      </c>
      <c r="C32" s="1" t="s">
        <v>3</v>
      </c>
      <c r="D32" s="15">
        <v>446107.67910000001</v>
      </c>
      <c r="E32" s="15">
        <v>5923540.4664000003</v>
      </c>
      <c r="F32" s="5">
        <v>7245.2753333333339</v>
      </c>
      <c r="G32" s="5"/>
      <c r="H32" s="5"/>
      <c r="I32" s="4" t="s">
        <v>62</v>
      </c>
      <c r="J32" s="4" t="s">
        <v>62</v>
      </c>
      <c r="K32" s="4"/>
      <c r="L32" s="4"/>
      <c r="M32" s="4"/>
      <c r="N32" s="23"/>
    </row>
    <row r="33" spans="1:14" x14ac:dyDescent="0.35">
      <c r="A33" s="1" t="s">
        <v>39</v>
      </c>
      <c r="B33" s="1" t="s">
        <v>56</v>
      </c>
      <c r="C33" s="1" t="s">
        <v>3</v>
      </c>
      <c r="D33" s="15">
        <v>447399.98560000001</v>
      </c>
      <c r="E33" s="15">
        <v>5923286.1697000004</v>
      </c>
      <c r="F33" s="5">
        <v>7200.942</v>
      </c>
      <c r="G33" s="5"/>
      <c r="H33" s="5"/>
      <c r="I33" s="4" t="s">
        <v>56</v>
      </c>
      <c r="J33" s="4" t="s">
        <v>62</v>
      </c>
      <c r="K33" s="4"/>
      <c r="L33" s="4"/>
      <c r="M33" s="4"/>
      <c r="N33" s="23"/>
    </row>
    <row r="34" spans="1:14" x14ac:dyDescent="0.35">
      <c r="A34" s="1" t="s">
        <v>53</v>
      </c>
      <c r="B34" s="1" t="s">
        <v>56</v>
      </c>
      <c r="C34" s="1" t="s">
        <v>3</v>
      </c>
      <c r="D34" s="15">
        <v>448879.7586</v>
      </c>
      <c r="E34" s="15">
        <v>5923568.3879000004</v>
      </c>
      <c r="F34" s="5">
        <v>7231.706000000001</v>
      </c>
      <c r="G34" s="5"/>
      <c r="H34" s="5"/>
      <c r="I34" s="4" t="s">
        <v>56</v>
      </c>
      <c r="J34" s="4" t="s">
        <v>62</v>
      </c>
      <c r="K34" s="4"/>
      <c r="L34" s="4"/>
      <c r="M34" s="4"/>
      <c r="N34" s="23"/>
    </row>
    <row r="35" spans="1:14" x14ac:dyDescent="0.35">
      <c r="A35" s="1" t="s">
        <v>42</v>
      </c>
      <c r="B35" s="1" t="s">
        <v>56</v>
      </c>
      <c r="C35" s="1" t="s">
        <v>3</v>
      </c>
      <c r="D35" s="15">
        <v>450224.45169999998</v>
      </c>
      <c r="E35" s="15">
        <v>5923406.2419999996</v>
      </c>
      <c r="F35" s="5">
        <v>6973.9893333333339</v>
      </c>
      <c r="G35" s="5"/>
      <c r="H35" s="5"/>
      <c r="I35" s="4" t="s">
        <v>56</v>
      </c>
      <c r="J35" s="4" t="s">
        <v>62</v>
      </c>
      <c r="K35" s="4"/>
      <c r="L35" s="4"/>
      <c r="M35" s="4"/>
      <c r="N35" s="23"/>
    </row>
    <row r="36" spans="1:14" x14ac:dyDescent="0.35">
      <c r="A36" s="1" t="s">
        <v>41</v>
      </c>
      <c r="B36" s="1" t="s">
        <v>56</v>
      </c>
      <c r="C36" s="1" t="s">
        <v>3</v>
      </c>
      <c r="D36" s="15">
        <v>451652.96019999997</v>
      </c>
      <c r="E36" s="15">
        <v>5923167.5865000002</v>
      </c>
      <c r="F36" s="5">
        <v>7176.8093333333336</v>
      </c>
      <c r="G36" s="5"/>
      <c r="H36" s="5"/>
      <c r="I36" s="4" t="s">
        <v>56</v>
      </c>
      <c r="J36" s="4" t="s">
        <v>62</v>
      </c>
      <c r="K36" s="4"/>
      <c r="L36" s="4"/>
      <c r="M36" s="4"/>
      <c r="N36" s="23"/>
    </row>
    <row r="37" spans="1:14" x14ac:dyDescent="0.35">
      <c r="A37" s="1" t="s">
        <v>33</v>
      </c>
      <c r="B37" s="1" t="s">
        <v>56</v>
      </c>
      <c r="C37" s="1" t="s">
        <v>3</v>
      </c>
      <c r="D37" s="15">
        <v>453042.25199999998</v>
      </c>
      <c r="E37" s="15">
        <v>5923221.8696999997</v>
      </c>
      <c r="F37" s="5">
        <v>7266.1866666666674</v>
      </c>
      <c r="G37" s="5"/>
      <c r="H37" s="5"/>
      <c r="I37" s="4" t="s">
        <v>62</v>
      </c>
      <c r="J37" s="4" t="s">
        <v>62</v>
      </c>
      <c r="K37" s="4"/>
      <c r="L37" s="4"/>
      <c r="M37" s="4"/>
      <c r="N37" s="23"/>
    </row>
    <row r="38" spans="1:14" x14ac:dyDescent="0.35">
      <c r="A38" s="1" t="s">
        <v>6</v>
      </c>
      <c r="B38" s="1" t="s">
        <v>56</v>
      </c>
      <c r="C38" s="1" t="s">
        <v>3</v>
      </c>
      <c r="D38" s="15">
        <v>443105.85700000002</v>
      </c>
      <c r="E38" s="15">
        <v>5922267.1327</v>
      </c>
      <c r="F38" s="5">
        <v>7687.7940000000008</v>
      </c>
      <c r="G38" s="5"/>
      <c r="H38" s="5"/>
      <c r="I38" s="4" t="s">
        <v>62</v>
      </c>
      <c r="J38" s="4" t="s">
        <v>62</v>
      </c>
      <c r="K38" s="4"/>
      <c r="L38" s="4"/>
      <c r="M38" s="4"/>
      <c r="N38" s="23"/>
    </row>
    <row r="39" spans="1:14" x14ac:dyDescent="0.35">
      <c r="A39" s="1" t="s">
        <v>44</v>
      </c>
      <c r="B39" s="1" t="s">
        <v>56</v>
      </c>
      <c r="C39" s="1" t="s">
        <v>3</v>
      </c>
      <c r="D39" s="15">
        <v>444406.18320000003</v>
      </c>
      <c r="E39" s="15">
        <v>5921798.2410000004</v>
      </c>
      <c r="F39" s="5">
        <v>6907.3286666666672</v>
      </c>
      <c r="G39" s="5"/>
      <c r="H39" s="5"/>
      <c r="I39" s="4" t="s">
        <v>62</v>
      </c>
      <c r="J39" s="4" t="s">
        <v>62</v>
      </c>
      <c r="K39" s="4"/>
      <c r="L39" s="4"/>
      <c r="M39" s="4"/>
      <c r="N39" s="23"/>
    </row>
    <row r="40" spans="1:14" x14ac:dyDescent="0.35">
      <c r="A40" s="1" t="s">
        <v>36</v>
      </c>
      <c r="B40" s="1" t="s">
        <v>56</v>
      </c>
      <c r="C40" s="1" t="s">
        <v>3</v>
      </c>
      <c r="D40" s="15">
        <v>446002.61709999997</v>
      </c>
      <c r="E40" s="15">
        <v>5922377.7856000001</v>
      </c>
      <c r="F40" s="5">
        <v>7254.8386666666665</v>
      </c>
      <c r="G40" s="5"/>
      <c r="H40" s="5"/>
      <c r="I40" s="4" t="s">
        <v>62</v>
      </c>
      <c r="J40" s="4" t="s">
        <v>62</v>
      </c>
      <c r="K40" s="4"/>
      <c r="L40" s="4"/>
      <c r="M40" s="4"/>
      <c r="N40" s="23"/>
    </row>
    <row r="41" spans="1:14" x14ac:dyDescent="0.35">
      <c r="A41" s="1" t="s">
        <v>30</v>
      </c>
      <c r="B41" s="1" t="s">
        <v>56</v>
      </c>
      <c r="C41" s="1" t="s">
        <v>3</v>
      </c>
      <c r="D41" s="15">
        <v>447321.2157</v>
      </c>
      <c r="E41" s="15">
        <v>5922155.3957000002</v>
      </c>
      <c r="F41" s="5">
        <v>7293.2340000000004</v>
      </c>
      <c r="G41" s="5"/>
      <c r="H41" s="5"/>
      <c r="I41" s="4" t="s">
        <v>62</v>
      </c>
      <c r="J41" s="4" t="s">
        <v>62</v>
      </c>
      <c r="K41" s="4"/>
      <c r="L41" s="4"/>
      <c r="M41" s="4"/>
      <c r="N41" s="23"/>
    </row>
    <row r="42" spans="1:14" x14ac:dyDescent="0.35">
      <c r="A42" s="1" t="s">
        <v>45</v>
      </c>
      <c r="B42" s="1" t="s">
        <v>56</v>
      </c>
      <c r="C42" s="1" t="s">
        <v>3</v>
      </c>
      <c r="D42" s="15">
        <v>450168.83750000002</v>
      </c>
      <c r="E42" s="15">
        <v>5922329.3293000003</v>
      </c>
      <c r="F42" s="5">
        <v>6860.1253333333334</v>
      </c>
      <c r="G42" s="5"/>
      <c r="H42" s="5"/>
      <c r="I42" s="4" t="s">
        <v>56</v>
      </c>
      <c r="J42" s="4" t="s">
        <v>62</v>
      </c>
      <c r="K42" s="4"/>
      <c r="L42" s="4"/>
      <c r="M42" s="4"/>
      <c r="N42" s="23"/>
    </row>
    <row r="43" spans="1:14" x14ac:dyDescent="0.35">
      <c r="A43" s="1" t="s">
        <v>40</v>
      </c>
      <c r="B43" s="1" t="s">
        <v>56</v>
      </c>
      <c r="C43" s="1" t="s">
        <v>3</v>
      </c>
      <c r="D43" s="15">
        <v>445872.24040000001</v>
      </c>
      <c r="E43" s="15">
        <v>5921269.5873999996</v>
      </c>
      <c r="F43" s="5">
        <v>7123.3286666666672</v>
      </c>
      <c r="G43" s="5"/>
      <c r="H43" s="5"/>
      <c r="I43" s="4" t="s">
        <v>62</v>
      </c>
      <c r="J43" s="4" t="s">
        <v>62</v>
      </c>
      <c r="K43" s="4"/>
      <c r="L43" s="4"/>
      <c r="M43" s="4"/>
      <c r="N43" s="23"/>
    </row>
    <row r="44" spans="1:14" x14ac:dyDescent="0.35">
      <c r="A44" s="1" t="s">
        <v>46</v>
      </c>
      <c r="B44" s="1" t="s">
        <v>56</v>
      </c>
      <c r="C44" s="1" t="s">
        <v>3</v>
      </c>
      <c r="D44" s="15">
        <v>447172.71970000002</v>
      </c>
      <c r="E44" s="15">
        <v>5920800.6169999996</v>
      </c>
      <c r="F44" s="5">
        <v>6545.558</v>
      </c>
      <c r="G44" s="5"/>
      <c r="H44" s="5"/>
      <c r="I44" s="4" t="s">
        <v>62</v>
      </c>
      <c r="J44" s="4" t="s">
        <v>62</v>
      </c>
      <c r="K44" s="4"/>
      <c r="L44" s="4"/>
      <c r="M44" s="4"/>
      <c r="N44" s="23"/>
    </row>
    <row r="45" spans="1:14" x14ac:dyDescent="0.35">
      <c r="A45" s="1" t="s">
        <v>43</v>
      </c>
      <c r="B45" s="1" t="s">
        <v>56</v>
      </c>
      <c r="C45" s="1" t="s">
        <v>3</v>
      </c>
      <c r="D45" s="15">
        <v>448685.48479999998</v>
      </c>
      <c r="E45" s="15">
        <v>5921383.6398</v>
      </c>
      <c r="F45" s="5">
        <v>6951.7946666666658</v>
      </c>
      <c r="G45" s="5"/>
      <c r="H45" s="5"/>
      <c r="I45" s="4" t="s">
        <v>62</v>
      </c>
      <c r="J45" s="4" t="s">
        <v>62</v>
      </c>
      <c r="K45" s="4"/>
      <c r="L45" s="4"/>
      <c r="M45" s="4"/>
      <c r="N45" s="23"/>
    </row>
    <row r="46" spans="1:14" x14ac:dyDescent="0.35">
      <c r="A46" s="1" t="s">
        <v>50</v>
      </c>
      <c r="B46" s="1" t="s">
        <v>56</v>
      </c>
      <c r="C46" s="1" t="s">
        <v>3</v>
      </c>
      <c r="D46" s="15">
        <v>449952.50870000001</v>
      </c>
      <c r="E46" s="15">
        <v>5921209.0383000001</v>
      </c>
      <c r="F46" s="5">
        <v>6398.5140000000001</v>
      </c>
      <c r="G46" s="5"/>
      <c r="H46" s="5"/>
      <c r="I46" s="4" t="s">
        <v>56</v>
      </c>
      <c r="J46" s="4" t="s">
        <v>62</v>
      </c>
      <c r="K46" s="4"/>
      <c r="L46" s="4"/>
      <c r="M46" s="4"/>
      <c r="N46" s="23"/>
    </row>
    <row r="47" spans="1:14" x14ac:dyDescent="0.35">
      <c r="A47" s="1" t="s">
        <v>51</v>
      </c>
      <c r="B47" s="1" t="s">
        <v>56</v>
      </c>
      <c r="C47" s="1" t="s">
        <v>3</v>
      </c>
      <c r="D47" s="15">
        <v>451468.89179999998</v>
      </c>
      <c r="E47" s="15">
        <v>5921441.3432999998</v>
      </c>
      <c r="F47" s="5">
        <v>6336.7353333333331</v>
      </c>
      <c r="G47" s="5"/>
      <c r="H47" s="5"/>
      <c r="I47" s="4" t="s">
        <v>56</v>
      </c>
      <c r="J47" s="4" t="s">
        <v>56</v>
      </c>
      <c r="K47" s="4"/>
      <c r="L47" s="4"/>
      <c r="M47" s="4"/>
      <c r="N47" s="23"/>
    </row>
    <row r="48" spans="1:14" x14ac:dyDescent="0.35">
      <c r="A48" s="1" t="s">
        <v>52</v>
      </c>
      <c r="B48" s="1" t="s">
        <v>56</v>
      </c>
      <c r="C48" s="1" t="s">
        <v>3</v>
      </c>
      <c r="D48" s="15">
        <v>452888.74979999999</v>
      </c>
      <c r="E48" s="15">
        <v>5921513.1471999995</v>
      </c>
      <c r="F48" s="5">
        <v>6345.0686666666661</v>
      </c>
      <c r="G48" s="5"/>
      <c r="H48" s="5"/>
      <c r="I48" s="4" t="s">
        <v>56</v>
      </c>
      <c r="J48" s="4" t="s">
        <v>56</v>
      </c>
      <c r="K48" s="4"/>
      <c r="L48" s="4"/>
      <c r="M48" s="4"/>
      <c r="N48" s="23"/>
    </row>
    <row r="49" spans="1:14" x14ac:dyDescent="0.35">
      <c r="A49" s="1" t="s">
        <v>47</v>
      </c>
      <c r="B49" s="1" t="s">
        <v>56</v>
      </c>
      <c r="C49" s="1" t="s">
        <v>3</v>
      </c>
      <c r="D49" s="15">
        <v>448580.50630000001</v>
      </c>
      <c r="E49" s="15">
        <v>5920292.7520000003</v>
      </c>
      <c r="F49" s="5">
        <v>6476.6113333333333</v>
      </c>
      <c r="G49" s="5"/>
      <c r="H49" s="5"/>
      <c r="I49" s="4" t="s">
        <v>62</v>
      </c>
      <c r="J49" s="4" t="s">
        <v>56</v>
      </c>
      <c r="K49" s="4"/>
      <c r="L49" s="4"/>
      <c r="M49" s="4"/>
      <c r="N49" s="23"/>
    </row>
    <row r="50" spans="1:14" x14ac:dyDescent="0.35">
      <c r="A50" s="1" t="s">
        <v>48</v>
      </c>
      <c r="B50" s="1" t="s">
        <v>56</v>
      </c>
      <c r="C50" s="1" t="s">
        <v>3</v>
      </c>
      <c r="D50" s="15">
        <v>449862.7892</v>
      </c>
      <c r="E50" s="15">
        <v>5919830.1629999997</v>
      </c>
      <c r="F50" s="5">
        <v>6454.7913333333336</v>
      </c>
      <c r="G50" s="5"/>
      <c r="H50" s="5"/>
      <c r="I50" s="4" t="s">
        <v>62</v>
      </c>
      <c r="J50" s="4" t="s">
        <v>56</v>
      </c>
      <c r="K50" s="4"/>
      <c r="L50" s="4"/>
      <c r="M50" s="4"/>
      <c r="N50" s="23"/>
    </row>
    <row r="51" spans="1:14" x14ac:dyDescent="0.35">
      <c r="A51" s="1" t="s">
        <v>49</v>
      </c>
      <c r="B51" s="1" t="s">
        <v>56</v>
      </c>
      <c r="C51" s="1" t="s">
        <v>3</v>
      </c>
      <c r="D51" s="15">
        <v>451376.05729999999</v>
      </c>
      <c r="E51" s="15">
        <v>5920298.3925000001</v>
      </c>
      <c r="F51" s="5">
        <v>6416.0893333333333</v>
      </c>
      <c r="G51" s="5"/>
      <c r="H51" s="5"/>
      <c r="I51" s="4" t="s">
        <v>62</v>
      </c>
      <c r="J51" s="4" t="s">
        <v>56</v>
      </c>
      <c r="K51" s="4"/>
      <c r="L51" s="4"/>
      <c r="M51" s="4"/>
      <c r="N51" s="23"/>
    </row>
    <row r="52" spans="1:14" x14ac:dyDescent="0.35">
      <c r="A52" s="21" t="s">
        <v>65</v>
      </c>
      <c r="B52" s="1" t="s">
        <v>62</v>
      </c>
      <c r="C52" s="1" t="s">
        <v>65</v>
      </c>
      <c r="D52" s="15">
        <v>451560.92599999998</v>
      </c>
      <c r="E52" s="22">
        <v>5922304.4649</v>
      </c>
      <c r="F52" s="4"/>
      <c r="G52" s="4"/>
      <c r="H52" s="4"/>
      <c r="I52" s="23"/>
      <c r="J52" s="23"/>
      <c r="K52" s="23"/>
      <c r="L52" s="23"/>
      <c r="M52" s="23"/>
      <c r="N52" s="23"/>
    </row>
    <row r="54" spans="1:14" x14ac:dyDescent="0.35">
      <c r="A54" s="3"/>
      <c r="B54" s="3"/>
    </row>
    <row r="57" spans="1:14" x14ac:dyDescent="0.35">
      <c r="A57" s="3"/>
      <c r="B57" s="3"/>
    </row>
  </sheetData>
  <autoFilter ref="A1:N1" xr:uid="{A82EA8D4-BAA5-468E-B97E-DC4F4ED9B933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D1A5-8FAE-47C9-B197-6E043DD2116C}">
  <dimension ref="A1:H57"/>
  <sheetViews>
    <sheetView topLeftCell="A5" workbookViewId="0">
      <selection activeCell="R23" sqref="R23"/>
    </sheetView>
  </sheetViews>
  <sheetFormatPr defaultRowHeight="14.5" x14ac:dyDescent="0.35"/>
  <cols>
    <col min="1" max="1" width="14.7265625" bestFit="1" customWidth="1"/>
    <col min="2" max="2" width="13.1796875" bestFit="1" customWidth="1"/>
    <col min="3" max="3" width="8.90625" customWidth="1"/>
    <col min="5" max="5" width="9.54296875" customWidth="1"/>
    <col min="6" max="6" width="12.08984375" bestFit="1" customWidth="1"/>
    <col min="7" max="7" width="11.453125" bestFit="1" customWidth="1"/>
    <col min="8" max="8" width="14.453125" customWidth="1"/>
  </cols>
  <sheetData>
    <row r="1" spans="1:8" ht="39" x14ac:dyDescent="0.35">
      <c r="A1" s="38" t="s">
        <v>67</v>
      </c>
      <c r="B1" s="38" t="s">
        <v>141</v>
      </c>
      <c r="C1" s="38" t="s">
        <v>134</v>
      </c>
      <c r="D1" s="38" t="s">
        <v>68</v>
      </c>
      <c r="E1" s="38" t="s">
        <v>69</v>
      </c>
      <c r="F1" s="38" t="s">
        <v>63</v>
      </c>
      <c r="G1" s="38" t="s">
        <v>64</v>
      </c>
      <c r="H1" s="38" t="s">
        <v>140</v>
      </c>
    </row>
    <row r="2" spans="1:8" x14ac:dyDescent="0.35">
      <c r="A2" s="32" t="s">
        <v>70</v>
      </c>
      <c r="B2" s="32" t="str">
        <f>F2&amp;"-"&amp;G2</f>
        <v>OSS-F07</v>
      </c>
      <c r="C2" s="36" t="s">
        <v>56</v>
      </c>
      <c r="D2" s="32" t="s">
        <v>71</v>
      </c>
      <c r="E2" s="33" t="s">
        <v>72</v>
      </c>
      <c r="F2" s="13" t="s">
        <v>65</v>
      </c>
      <c r="G2" s="19" t="s">
        <v>51</v>
      </c>
      <c r="H2" s="37" t="s">
        <v>56</v>
      </c>
    </row>
    <row r="3" spans="1:8" x14ac:dyDescent="0.35">
      <c r="A3" s="28" t="s">
        <v>73</v>
      </c>
      <c r="B3" s="28" t="str">
        <f t="shared" ref="B3:B56" si="0">F3&amp;"-"&amp;G3</f>
        <v>F07-G07</v>
      </c>
      <c r="C3" s="1" t="s">
        <v>56</v>
      </c>
      <c r="D3" s="28" t="s">
        <v>71</v>
      </c>
      <c r="E3" s="29" t="s">
        <v>72</v>
      </c>
      <c r="F3" s="11" t="s">
        <v>51</v>
      </c>
      <c r="G3" s="17" t="s">
        <v>49</v>
      </c>
      <c r="H3" s="4" t="s">
        <v>62</v>
      </c>
    </row>
    <row r="4" spans="1:8" x14ac:dyDescent="0.35">
      <c r="A4" s="28" t="s">
        <v>74</v>
      </c>
      <c r="B4" s="28" t="str">
        <f t="shared" si="0"/>
        <v>G07-G06</v>
      </c>
      <c r="C4" s="1" t="s">
        <v>56</v>
      </c>
      <c r="D4" s="28" t="s">
        <v>71</v>
      </c>
      <c r="E4" s="29" t="s">
        <v>72</v>
      </c>
      <c r="F4" s="11" t="s">
        <v>49</v>
      </c>
      <c r="G4" s="17" t="s">
        <v>48</v>
      </c>
      <c r="H4" s="4" t="s">
        <v>62</v>
      </c>
    </row>
    <row r="5" spans="1:8" x14ac:dyDescent="0.35">
      <c r="A5" s="28" t="s">
        <v>75</v>
      </c>
      <c r="B5" s="28" t="str">
        <f t="shared" si="0"/>
        <v>G06-G05</v>
      </c>
      <c r="C5" s="1" t="s">
        <v>56</v>
      </c>
      <c r="D5" s="28" t="s">
        <v>71</v>
      </c>
      <c r="E5" s="29" t="s">
        <v>72</v>
      </c>
      <c r="F5" s="11" t="s">
        <v>48</v>
      </c>
      <c r="G5" s="17" t="s">
        <v>47</v>
      </c>
      <c r="H5" s="4" t="s">
        <v>62</v>
      </c>
    </row>
    <row r="6" spans="1:8" x14ac:dyDescent="0.35">
      <c r="A6" s="28" t="s">
        <v>76</v>
      </c>
      <c r="B6" s="28" t="str">
        <f t="shared" si="0"/>
        <v>G05-F04</v>
      </c>
      <c r="C6" s="1" t="s">
        <v>56</v>
      </c>
      <c r="D6" s="28" t="s">
        <v>71</v>
      </c>
      <c r="E6" s="29" t="s">
        <v>72</v>
      </c>
      <c r="F6" s="11" t="s">
        <v>47</v>
      </c>
      <c r="G6" s="17" t="s">
        <v>46</v>
      </c>
      <c r="H6" s="4" t="s">
        <v>62</v>
      </c>
    </row>
    <row r="7" spans="1:8" x14ac:dyDescent="0.35">
      <c r="A7" s="28" t="s">
        <v>77</v>
      </c>
      <c r="B7" s="28" t="str">
        <f t="shared" si="0"/>
        <v>F04-F03</v>
      </c>
      <c r="C7" s="1" t="s">
        <v>56</v>
      </c>
      <c r="D7" s="28"/>
      <c r="E7" s="29" t="s">
        <v>72</v>
      </c>
      <c r="F7" s="11" t="s">
        <v>46</v>
      </c>
      <c r="G7" s="17" t="s">
        <v>40</v>
      </c>
      <c r="H7" s="4" t="s">
        <v>62</v>
      </c>
    </row>
    <row r="8" spans="1:8" x14ac:dyDescent="0.35">
      <c r="A8" s="28" t="s">
        <v>78</v>
      </c>
      <c r="B8" s="28" t="str">
        <f t="shared" si="0"/>
        <v>F03-E02</v>
      </c>
      <c r="C8" s="1" t="s">
        <v>56</v>
      </c>
      <c r="D8" s="28" t="s">
        <v>79</v>
      </c>
      <c r="E8" s="29" t="s">
        <v>72</v>
      </c>
      <c r="F8" s="11" t="s">
        <v>40</v>
      </c>
      <c r="G8" s="17" t="s">
        <v>44</v>
      </c>
      <c r="H8" s="4" t="s">
        <v>62</v>
      </c>
    </row>
    <row r="9" spans="1:8" x14ac:dyDescent="0.35">
      <c r="A9" s="28" t="s">
        <v>80</v>
      </c>
      <c r="B9" s="28" t="str">
        <f t="shared" si="0"/>
        <v>E02-E04</v>
      </c>
      <c r="C9" s="1" t="s">
        <v>56</v>
      </c>
      <c r="D9" s="28" t="s">
        <v>79</v>
      </c>
      <c r="E9" s="29" t="s">
        <v>72</v>
      </c>
      <c r="F9" s="11" t="s">
        <v>44</v>
      </c>
      <c r="G9" s="17" t="s">
        <v>30</v>
      </c>
      <c r="H9" s="4" t="s">
        <v>62</v>
      </c>
    </row>
    <row r="10" spans="1:8" x14ac:dyDescent="0.35">
      <c r="A10" s="28" t="s">
        <v>81</v>
      </c>
      <c r="B10" s="28" t="str">
        <f t="shared" si="0"/>
        <v>E04-F05</v>
      </c>
      <c r="C10" s="1" t="s">
        <v>56</v>
      </c>
      <c r="D10" s="28" t="s">
        <v>79</v>
      </c>
      <c r="E10" s="29" t="s">
        <v>72</v>
      </c>
      <c r="F10" s="11" t="s">
        <v>30</v>
      </c>
      <c r="G10" s="17" t="s">
        <v>43</v>
      </c>
      <c r="H10" s="4" t="s">
        <v>62</v>
      </c>
    </row>
    <row r="11" spans="1:8" x14ac:dyDescent="0.35">
      <c r="A11" s="28" t="s">
        <v>82</v>
      </c>
      <c r="B11" s="28" t="str">
        <f t="shared" si="0"/>
        <v>F05-F06</v>
      </c>
      <c r="C11" s="1" t="s">
        <v>56</v>
      </c>
      <c r="D11" s="28" t="s">
        <v>79</v>
      </c>
      <c r="E11" s="29" t="s">
        <v>72</v>
      </c>
      <c r="F11" s="11" t="s">
        <v>43</v>
      </c>
      <c r="G11" s="17" t="s">
        <v>50</v>
      </c>
      <c r="H11" s="4" t="s">
        <v>62</v>
      </c>
    </row>
    <row r="12" spans="1:8" ht="15" thickBot="1" x14ac:dyDescent="0.4">
      <c r="A12" s="30" t="s">
        <v>83</v>
      </c>
      <c r="B12" s="30" t="str">
        <f t="shared" si="0"/>
        <v>F06-OSS</v>
      </c>
      <c r="C12" s="34" t="s">
        <v>56</v>
      </c>
      <c r="D12" s="30" t="s">
        <v>79</v>
      </c>
      <c r="E12" s="31" t="s">
        <v>72</v>
      </c>
      <c r="F12" s="12" t="s">
        <v>50</v>
      </c>
      <c r="G12" s="18" t="s">
        <v>65</v>
      </c>
      <c r="H12" s="4" t="s">
        <v>56</v>
      </c>
    </row>
    <row r="13" spans="1:8" x14ac:dyDescent="0.35">
      <c r="A13" s="32" t="s">
        <v>84</v>
      </c>
      <c r="B13" s="32" t="str">
        <f t="shared" si="0"/>
        <v>OSS-E06</v>
      </c>
      <c r="C13" s="26" t="s">
        <v>56</v>
      </c>
      <c r="D13" s="32" t="s">
        <v>85</v>
      </c>
      <c r="E13" s="33" t="s">
        <v>86</v>
      </c>
      <c r="F13" s="13" t="s">
        <v>65</v>
      </c>
      <c r="G13" s="19" t="s">
        <v>45</v>
      </c>
      <c r="H13" s="4" t="s">
        <v>56</v>
      </c>
    </row>
    <row r="14" spans="1:8" x14ac:dyDescent="0.35">
      <c r="A14" s="28" t="s">
        <v>87</v>
      </c>
      <c r="B14" s="28" t="str">
        <f t="shared" si="0"/>
        <v>E06-E03</v>
      </c>
      <c r="C14" s="1" t="s">
        <v>56</v>
      </c>
      <c r="D14" s="28" t="s">
        <v>85</v>
      </c>
      <c r="E14" s="29" t="s">
        <v>86</v>
      </c>
      <c r="F14" s="11" t="s">
        <v>45</v>
      </c>
      <c r="G14" s="17" t="s">
        <v>36</v>
      </c>
      <c r="H14" s="4" t="s">
        <v>62</v>
      </c>
    </row>
    <row r="15" spans="1:8" x14ac:dyDescent="0.35">
      <c r="A15" s="28" t="s">
        <v>88</v>
      </c>
      <c r="B15" s="28" t="str">
        <f t="shared" si="0"/>
        <v>E03-D02</v>
      </c>
      <c r="C15" s="1" t="s">
        <v>56</v>
      </c>
      <c r="D15" s="28" t="s">
        <v>85</v>
      </c>
      <c r="E15" s="29" t="s">
        <v>86</v>
      </c>
      <c r="F15" s="11" t="s">
        <v>36</v>
      </c>
      <c r="G15" s="17" t="s">
        <v>37</v>
      </c>
      <c r="H15" s="4" t="s">
        <v>62</v>
      </c>
    </row>
    <row r="16" spans="1:8" x14ac:dyDescent="0.35">
      <c r="A16" s="28" t="s">
        <v>89</v>
      </c>
      <c r="B16" s="28" t="str">
        <f t="shared" si="0"/>
        <v>D02-E01</v>
      </c>
      <c r="C16" s="1" t="s">
        <v>56</v>
      </c>
      <c r="D16" s="28" t="s">
        <v>85</v>
      </c>
      <c r="E16" s="29" t="s">
        <v>86</v>
      </c>
      <c r="F16" s="11" t="s">
        <v>37</v>
      </c>
      <c r="G16" s="17" t="s">
        <v>6</v>
      </c>
      <c r="H16" s="4" t="s">
        <v>62</v>
      </c>
    </row>
    <row r="17" spans="1:8" x14ac:dyDescent="0.35">
      <c r="A17" s="28" t="s">
        <v>90</v>
      </c>
      <c r="B17" s="28" t="str">
        <f t="shared" si="0"/>
        <v>E01-D01</v>
      </c>
      <c r="C17" s="1" t="s">
        <v>56</v>
      </c>
      <c r="D17" s="28" t="s">
        <v>85</v>
      </c>
      <c r="E17" s="29" t="s">
        <v>86</v>
      </c>
      <c r="F17" s="11" t="s">
        <v>6</v>
      </c>
      <c r="G17" s="17" t="s">
        <v>38</v>
      </c>
      <c r="H17" s="4" t="s">
        <v>62</v>
      </c>
    </row>
    <row r="18" spans="1:8" x14ac:dyDescent="0.35">
      <c r="A18" s="28" t="s">
        <v>91</v>
      </c>
      <c r="B18" s="28" t="str">
        <f t="shared" si="0"/>
        <v>D01-C01</v>
      </c>
      <c r="C18" s="1" t="s">
        <v>56</v>
      </c>
      <c r="D18" s="28"/>
      <c r="E18" s="29" t="s">
        <v>86</v>
      </c>
      <c r="F18" s="11" t="s">
        <v>38</v>
      </c>
      <c r="G18" s="17" t="s">
        <v>22</v>
      </c>
      <c r="H18" s="4" t="s">
        <v>62</v>
      </c>
    </row>
    <row r="19" spans="1:8" x14ac:dyDescent="0.35">
      <c r="A19" s="28" t="s">
        <v>92</v>
      </c>
      <c r="B19" s="28" t="str">
        <f t="shared" si="0"/>
        <v>C01-B01</v>
      </c>
      <c r="C19" s="1" t="s">
        <v>56</v>
      </c>
      <c r="D19" s="28" t="s">
        <v>93</v>
      </c>
      <c r="E19" s="29" t="s">
        <v>86</v>
      </c>
      <c r="F19" s="11" t="s">
        <v>22</v>
      </c>
      <c r="G19" s="17" t="s">
        <v>18</v>
      </c>
      <c r="H19" s="4" t="s">
        <v>62</v>
      </c>
    </row>
    <row r="20" spans="1:8" x14ac:dyDescent="0.35">
      <c r="A20" s="28" t="s">
        <v>94</v>
      </c>
      <c r="B20" s="28" t="str">
        <f t="shared" si="0"/>
        <v>B01-C02</v>
      </c>
      <c r="C20" s="1" t="s">
        <v>56</v>
      </c>
      <c r="D20" s="28" t="s">
        <v>93</v>
      </c>
      <c r="E20" s="29" t="s">
        <v>86</v>
      </c>
      <c r="F20" s="11" t="s">
        <v>18</v>
      </c>
      <c r="G20" s="17" t="s">
        <v>27</v>
      </c>
      <c r="H20" s="4" t="s">
        <v>62</v>
      </c>
    </row>
    <row r="21" spans="1:8" x14ac:dyDescent="0.35">
      <c r="A21" s="28" t="s">
        <v>95</v>
      </c>
      <c r="B21" s="28" t="str">
        <f t="shared" si="0"/>
        <v>C02-D03</v>
      </c>
      <c r="C21" s="1" t="s">
        <v>56</v>
      </c>
      <c r="D21" s="28" t="s">
        <v>93</v>
      </c>
      <c r="E21" s="29" t="s">
        <v>86</v>
      </c>
      <c r="F21" s="11" t="s">
        <v>27</v>
      </c>
      <c r="G21" s="17" t="s">
        <v>31</v>
      </c>
      <c r="H21" s="4" t="s">
        <v>62</v>
      </c>
    </row>
    <row r="22" spans="1:8" x14ac:dyDescent="0.35">
      <c r="A22" s="28" t="s">
        <v>96</v>
      </c>
      <c r="B22" s="28" t="str">
        <f t="shared" si="0"/>
        <v>D03-D04</v>
      </c>
      <c r="C22" s="1" t="s">
        <v>56</v>
      </c>
      <c r="D22" s="28" t="s">
        <v>93</v>
      </c>
      <c r="E22" s="29" t="s">
        <v>86</v>
      </c>
      <c r="F22" s="11" t="s">
        <v>31</v>
      </c>
      <c r="G22" s="17" t="s">
        <v>39</v>
      </c>
      <c r="H22" s="4" t="s">
        <v>62</v>
      </c>
    </row>
    <row r="23" spans="1:8" ht="15" thickBot="1" x14ac:dyDescent="0.4">
      <c r="A23" s="34" t="s">
        <v>97</v>
      </c>
      <c r="B23" s="34" t="str">
        <f t="shared" si="0"/>
        <v>D04-OSS</v>
      </c>
      <c r="C23" s="34" t="s">
        <v>56</v>
      </c>
      <c r="D23" s="34" t="s">
        <v>93</v>
      </c>
      <c r="E23" s="35" t="s">
        <v>86</v>
      </c>
      <c r="F23" s="14" t="s">
        <v>39</v>
      </c>
      <c r="G23" s="20" t="s">
        <v>65</v>
      </c>
      <c r="H23" s="4" t="s">
        <v>56</v>
      </c>
    </row>
    <row r="24" spans="1:8" x14ac:dyDescent="0.35">
      <c r="A24" s="26" t="s">
        <v>142</v>
      </c>
      <c r="B24" s="26" t="str">
        <f t="shared" si="0"/>
        <v>OSS-D05</v>
      </c>
      <c r="C24" s="26" t="s">
        <v>56</v>
      </c>
      <c r="D24" s="26" t="s">
        <v>98</v>
      </c>
      <c r="E24" s="27" t="s">
        <v>99</v>
      </c>
      <c r="F24" s="26" t="s">
        <v>65</v>
      </c>
      <c r="G24" s="26" t="s">
        <v>53</v>
      </c>
      <c r="H24" s="4" t="s">
        <v>56</v>
      </c>
    </row>
    <row r="25" spans="1:8" x14ac:dyDescent="0.35">
      <c r="A25" s="28" t="s">
        <v>143</v>
      </c>
      <c r="B25" s="28" t="str">
        <f t="shared" si="0"/>
        <v>D05-C04</v>
      </c>
      <c r="C25" s="1" t="s">
        <v>56</v>
      </c>
      <c r="D25" s="28" t="s">
        <v>98</v>
      </c>
      <c r="E25" s="29" t="s">
        <v>99</v>
      </c>
      <c r="F25" s="1" t="s">
        <v>53</v>
      </c>
      <c r="G25" s="28" t="s">
        <v>26</v>
      </c>
      <c r="H25" s="4" t="s">
        <v>62</v>
      </c>
    </row>
    <row r="26" spans="1:8" x14ac:dyDescent="0.35">
      <c r="A26" s="28" t="s">
        <v>144</v>
      </c>
      <c r="B26" s="28" t="str">
        <f t="shared" si="0"/>
        <v>C04-C03</v>
      </c>
      <c r="C26" s="1" t="s">
        <v>56</v>
      </c>
      <c r="D26" s="28" t="s">
        <v>98</v>
      </c>
      <c r="E26" s="29" t="s">
        <v>99</v>
      </c>
      <c r="F26" s="1" t="s">
        <v>26</v>
      </c>
      <c r="G26" s="28" t="s">
        <v>34</v>
      </c>
      <c r="H26" s="4" t="s">
        <v>62</v>
      </c>
    </row>
    <row r="27" spans="1:8" x14ac:dyDescent="0.35">
      <c r="A27" s="28" t="s">
        <v>145</v>
      </c>
      <c r="B27" s="28" t="str">
        <f t="shared" si="0"/>
        <v>C03-B02</v>
      </c>
      <c r="C27" s="1" t="s">
        <v>56</v>
      </c>
      <c r="D27" s="28" t="s">
        <v>98</v>
      </c>
      <c r="E27" s="29" t="s">
        <v>99</v>
      </c>
      <c r="F27" s="11" t="s">
        <v>34</v>
      </c>
      <c r="G27" s="17" t="s">
        <v>11</v>
      </c>
      <c r="H27" s="4" t="s">
        <v>62</v>
      </c>
    </row>
    <row r="28" spans="1:8" x14ac:dyDescent="0.35">
      <c r="A28" s="28" t="s">
        <v>146</v>
      </c>
      <c r="B28" s="28" t="str">
        <f t="shared" si="0"/>
        <v>B02-A01</v>
      </c>
      <c r="C28" s="1" t="s">
        <v>56</v>
      </c>
      <c r="D28" s="28" t="s">
        <v>98</v>
      </c>
      <c r="E28" s="29" t="s">
        <v>99</v>
      </c>
      <c r="F28" s="11" t="s">
        <v>11</v>
      </c>
      <c r="G28" s="17" t="s">
        <v>14</v>
      </c>
      <c r="H28" s="4" t="s">
        <v>62</v>
      </c>
    </row>
    <row r="29" spans="1:8" x14ac:dyDescent="0.35">
      <c r="A29" s="28" t="s">
        <v>147</v>
      </c>
      <c r="B29" s="28" t="str">
        <f t="shared" si="0"/>
        <v>A01-A02</v>
      </c>
      <c r="C29" s="1" t="s">
        <v>56</v>
      </c>
      <c r="D29" s="28"/>
      <c r="E29" s="29" t="s">
        <v>99</v>
      </c>
      <c r="F29" s="11" t="s">
        <v>14</v>
      </c>
      <c r="G29" s="17" t="s">
        <v>8</v>
      </c>
      <c r="H29" s="4" t="s">
        <v>62</v>
      </c>
    </row>
    <row r="30" spans="1:8" x14ac:dyDescent="0.35">
      <c r="A30" s="28" t="s">
        <v>148</v>
      </c>
      <c r="B30" s="28" t="str">
        <f t="shared" si="0"/>
        <v>A02-A03</v>
      </c>
      <c r="C30" s="1" t="s">
        <v>56</v>
      </c>
      <c r="D30" s="28" t="s">
        <v>100</v>
      </c>
      <c r="E30" s="29" t="s">
        <v>99</v>
      </c>
      <c r="F30" s="11" t="s">
        <v>8</v>
      </c>
      <c r="G30" s="17" t="s">
        <v>5</v>
      </c>
      <c r="H30" s="4" t="s">
        <v>62</v>
      </c>
    </row>
    <row r="31" spans="1:8" x14ac:dyDescent="0.35">
      <c r="A31" s="28" t="s">
        <v>149</v>
      </c>
      <c r="B31" s="28" t="str">
        <f t="shared" si="0"/>
        <v>A03-B03</v>
      </c>
      <c r="C31" s="1" t="s">
        <v>56</v>
      </c>
      <c r="D31" s="28" t="s">
        <v>100</v>
      </c>
      <c r="E31" s="29" t="s">
        <v>99</v>
      </c>
      <c r="F31" s="11" t="s">
        <v>5</v>
      </c>
      <c r="G31" s="17" t="s">
        <v>12</v>
      </c>
      <c r="H31" s="4" t="s">
        <v>62</v>
      </c>
    </row>
    <row r="32" spans="1:8" x14ac:dyDescent="0.35">
      <c r="A32" s="28" t="s">
        <v>150</v>
      </c>
      <c r="B32" s="28" t="str">
        <f t="shared" si="0"/>
        <v>B03-B04</v>
      </c>
      <c r="C32" s="1" t="s">
        <v>56</v>
      </c>
      <c r="D32" s="28" t="s">
        <v>100</v>
      </c>
      <c r="E32" s="29" t="s">
        <v>99</v>
      </c>
      <c r="F32" s="11" t="s">
        <v>12</v>
      </c>
      <c r="G32" s="17" t="s">
        <v>15</v>
      </c>
      <c r="H32" s="4" t="s">
        <v>62</v>
      </c>
    </row>
    <row r="33" spans="1:8" x14ac:dyDescent="0.35">
      <c r="A33" s="28" t="s">
        <v>151</v>
      </c>
      <c r="B33" s="28" t="str">
        <f t="shared" si="0"/>
        <v>B04-D06</v>
      </c>
      <c r="C33" s="1" t="s">
        <v>56</v>
      </c>
      <c r="D33" s="28" t="s">
        <v>100</v>
      </c>
      <c r="E33" s="29" t="s">
        <v>99</v>
      </c>
      <c r="F33" s="11" t="s">
        <v>15</v>
      </c>
      <c r="G33" s="17" t="s">
        <v>42</v>
      </c>
      <c r="H33" s="4" t="s">
        <v>62</v>
      </c>
    </row>
    <row r="34" spans="1:8" ht="15" thickBot="1" x14ac:dyDescent="0.4">
      <c r="A34" s="30" t="s">
        <v>101</v>
      </c>
      <c r="B34" s="30" t="str">
        <f t="shared" si="0"/>
        <v>D06-OSS</v>
      </c>
      <c r="C34" s="34" t="s">
        <v>56</v>
      </c>
      <c r="D34" s="30" t="s">
        <v>100</v>
      </c>
      <c r="E34" s="31" t="s">
        <v>99</v>
      </c>
      <c r="F34" s="12" t="s">
        <v>42</v>
      </c>
      <c r="G34" s="18" t="s">
        <v>65</v>
      </c>
      <c r="H34" s="4" t="s">
        <v>56</v>
      </c>
    </row>
    <row r="35" spans="1:8" x14ac:dyDescent="0.35">
      <c r="A35" s="32" t="s">
        <v>102</v>
      </c>
      <c r="B35" s="32" t="str">
        <f t="shared" si="0"/>
        <v>OSS-C06</v>
      </c>
      <c r="C35" s="26" t="s">
        <v>56</v>
      </c>
      <c r="D35" s="32" t="s">
        <v>103</v>
      </c>
      <c r="E35" s="33" t="s">
        <v>104</v>
      </c>
      <c r="F35" s="13" t="s">
        <v>65</v>
      </c>
      <c r="G35" s="19" t="s">
        <v>7</v>
      </c>
      <c r="H35" s="4" t="s">
        <v>56</v>
      </c>
    </row>
    <row r="36" spans="1:8" x14ac:dyDescent="0.35">
      <c r="A36" s="28" t="s">
        <v>105</v>
      </c>
      <c r="B36" s="28" t="str">
        <f t="shared" si="0"/>
        <v>C06-B06</v>
      </c>
      <c r="C36" s="1" t="s">
        <v>56</v>
      </c>
      <c r="D36" s="28" t="s">
        <v>103</v>
      </c>
      <c r="E36" s="29" t="s">
        <v>104</v>
      </c>
      <c r="F36" s="11" t="s">
        <v>7</v>
      </c>
      <c r="G36" s="17" t="s">
        <v>21</v>
      </c>
      <c r="H36" s="4" t="s">
        <v>62</v>
      </c>
    </row>
    <row r="37" spans="1:8" x14ac:dyDescent="0.35">
      <c r="A37" s="28" t="s">
        <v>106</v>
      </c>
      <c r="B37" s="28" t="str">
        <f t="shared" si="0"/>
        <v>B06-B05</v>
      </c>
      <c r="C37" s="1" t="s">
        <v>56</v>
      </c>
      <c r="D37" s="28" t="s">
        <v>103</v>
      </c>
      <c r="E37" s="29" t="s">
        <v>104</v>
      </c>
      <c r="F37" s="11" t="s">
        <v>21</v>
      </c>
      <c r="G37" s="17" t="s">
        <v>16</v>
      </c>
      <c r="H37" s="4" t="s">
        <v>62</v>
      </c>
    </row>
    <row r="38" spans="1:8" x14ac:dyDescent="0.35">
      <c r="A38" s="28" t="s">
        <v>107</v>
      </c>
      <c r="B38" s="28" t="str">
        <f t="shared" si="0"/>
        <v>B05-A04</v>
      </c>
      <c r="C38" s="1" t="s">
        <v>56</v>
      </c>
      <c r="D38" s="28" t="s">
        <v>103</v>
      </c>
      <c r="E38" s="29" t="s">
        <v>104</v>
      </c>
      <c r="F38" s="11" t="s">
        <v>16</v>
      </c>
      <c r="G38" s="17" t="s">
        <v>4</v>
      </c>
      <c r="H38" s="4" t="s">
        <v>62</v>
      </c>
    </row>
    <row r="39" spans="1:8" x14ac:dyDescent="0.35">
      <c r="A39" s="28" t="s">
        <v>108</v>
      </c>
      <c r="B39" s="28" t="str">
        <f t="shared" si="0"/>
        <v>A04-A05</v>
      </c>
      <c r="C39" s="1" t="s">
        <v>56</v>
      </c>
      <c r="D39" s="28" t="s">
        <v>103</v>
      </c>
      <c r="E39" s="29" t="s">
        <v>104</v>
      </c>
      <c r="F39" s="11" t="s">
        <v>4</v>
      </c>
      <c r="G39" s="17" t="s">
        <v>10</v>
      </c>
      <c r="H39" s="4" t="s">
        <v>62</v>
      </c>
    </row>
    <row r="40" spans="1:8" x14ac:dyDescent="0.35">
      <c r="A40" s="28" t="s">
        <v>109</v>
      </c>
      <c r="B40" s="28" t="str">
        <f t="shared" si="0"/>
        <v>A05-A06</v>
      </c>
      <c r="C40" s="1" t="s">
        <v>56</v>
      </c>
      <c r="D40" s="28"/>
      <c r="E40" s="29" t="s">
        <v>104</v>
      </c>
      <c r="F40" s="11" t="s">
        <v>10</v>
      </c>
      <c r="G40" s="17" t="s">
        <v>17</v>
      </c>
      <c r="H40" s="4" t="s">
        <v>62</v>
      </c>
    </row>
    <row r="41" spans="1:8" x14ac:dyDescent="0.35">
      <c r="A41" s="28" t="s">
        <v>110</v>
      </c>
      <c r="B41" s="28" t="str">
        <f t="shared" si="0"/>
        <v>A06-A07</v>
      </c>
      <c r="C41" s="1" t="s">
        <v>56</v>
      </c>
      <c r="D41" s="28" t="s">
        <v>111</v>
      </c>
      <c r="E41" s="29" t="s">
        <v>104</v>
      </c>
      <c r="F41" s="11" t="s">
        <v>17</v>
      </c>
      <c r="G41" s="17" t="s">
        <v>20</v>
      </c>
      <c r="H41" s="4" t="s">
        <v>62</v>
      </c>
    </row>
    <row r="42" spans="1:8" x14ac:dyDescent="0.35">
      <c r="A42" s="28" t="s">
        <v>112</v>
      </c>
      <c r="B42" s="28" t="str">
        <f t="shared" si="0"/>
        <v>A07-B07</v>
      </c>
      <c r="C42" s="1" t="s">
        <v>56</v>
      </c>
      <c r="D42" s="28" t="s">
        <v>111</v>
      </c>
      <c r="E42" s="29" t="s">
        <v>104</v>
      </c>
      <c r="F42" s="11" t="s">
        <v>20</v>
      </c>
      <c r="G42" s="17" t="s">
        <v>9</v>
      </c>
      <c r="H42" s="4" t="s">
        <v>62</v>
      </c>
    </row>
    <row r="43" spans="1:8" x14ac:dyDescent="0.35">
      <c r="A43" s="28" t="s">
        <v>113</v>
      </c>
      <c r="B43" s="28" t="str">
        <f t="shared" si="0"/>
        <v>B07-C07</v>
      </c>
      <c r="C43" s="1" t="s">
        <v>56</v>
      </c>
      <c r="D43" s="28" t="s">
        <v>111</v>
      </c>
      <c r="E43" s="29" t="s">
        <v>104</v>
      </c>
      <c r="F43" s="11" t="s">
        <v>9</v>
      </c>
      <c r="G43" s="17" t="s">
        <v>13</v>
      </c>
      <c r="H43" s="4" t="s">
        <v>62</v>
      </c>
    </row>
    <row r="44" spans="1:8" x14ac:dyDescent="0.35">
      <c r="A44" s="28" t="s">
        <v>114</v>
      </c>
      <c r="B44" s="28" t="str">
        <f t="shared" si="0"/>
        <v>C07-D07</v>
      </c>
      <c r="C44" s="28" t="s">
        <v>56</v>
      </c>
      <c r="D44" s="28" t="s">
        <v>111</v>
      </c>
      <c r="E44" s="29" t="s">
        <v>104</v>
      </c>
      <c r="F44" s="11" t="s">
        <v>13</v>
      </c>
      <c r="G44" s="17" t="s">
        <v>41</v>
      </c>
      <c r="H44" s="4" t="s">
        <v>62</v>
      </c>
    </row>
    <row r="45" spans="1:8" ht="15" thickBot="1" x14ac:dyDescent="0.4">
      <c r="A45" s="34" t="s">
        <v>115</v>
      </c>
      <c r="B45" s="34" t="str">
        <f t="shared" si="0"/>
        <v>D07-OSS</v>
      </c>
      <c r="C45" s="34" t="s">
        <v>56</v>
      </c>
      <c r="D45" s="34" t="s">
        <v>111</v>
      </c>
      <c r="E45" s="35" t="s">
        <v>104</v>
      </c>
      <c r="F45" s="14" t="s">
        <v>41</v>
      </c>
      <c r="G45" s="20" t="s">
        <v>65</v>
      </c>
      <c r="H45" s="4" t="s">
        <v>56</v>
      </c>
    </row>
    <row r="46" spans="1:8" x14ac:dyDescent="0.35">
      <c r="A46" s="26" t="s">
        <v>116</v>
      </c>
      <c r="B46" s="26" t="str">
        <f t="shared" si="0"/>
        <v>OSS-C08</v>
      </c>
      <c r="C46" s="26" t="s">
        <v>56</v>
      </c>
      <c r="D46" s="26" t="s">
        <v>117</v>
      </c>
      <c r="E46" s="27" t="s">
        <v>118</v>
      </c>
      <c r="F46" s="10" t="s">
        <v>65</v>
      </c>
      <c r="G46" s="16" t="s">
        <v>23</v>
      </c>
      <c r="H46" s="4" t="s">
        <v>56</v>
      </c>
    </row>
    <row r="47" spans="1:8" x14ac:dyDescent="0.35">
      <c r="A47" s="28" t="s">
        <v>119</v>
      </c>
      <c r="B47" s="28" t="str">
        <f t="shared" si="0"/>
        <v>C08-B08</v>
      </c>
      <c r="C47" s="1" t="s">
        <v>56</v>
      </c>
      <c r="D47" s="28" t="s">
        <v>117</v>
      </c>
      <c r="E47" s="29" t="s">
        <v>118</v>
      </c>
      <c r="F47" s="11" t="s">
        <v>23</v>
      </c>
      <c r="G47" s="17" t="s">
        <v>19</v>
      </c>
      <c r="H47" s="4" t="s">
        <v>62</v>
      </c>
    </row>
    <row r="48" spans="1:8" x14ac:dyDescent="0.35">
      <c r="A48" s="28" t="s">
        <v>120</v>
      </c>
      <c r="B48" s="28" t="str">
        <f t="shared" si="0"/>
        <v>B08-A08</v>
      </c>
      <c r="C48" s="1" t="s">
        <v>56</v>
      </c>
      <c r="D48" s="28" t="s">
        <v>117</v>
      </c>
      <c r="E48" s="29" t="s">
        <v>118</v>
      </c>
      <c r="F48" s="11" t="s">
        <v>19</v>
      </c>
      <c r="G48" s="17" t="s">
        <v>35</v>
      </c>
      <c r="H48" s="4" t="s">
        <v>62</v>
      </c>
    </row>
    <row r="49" spans="1:8" x14ac:dyDescent="0.35">
      <c r="A49" s="28" t="s">
        <v>121</v>
      </c>
      <c r="B49" s="28" t="str">
        <f t="shared" si="0"/>
        <v>A08-A09</v>
      </c>
      <c r="C49" s="1" t="s">
        <v>56</v>
      </c>
      <c r="D49" s="28" t="s">
        <v>117</v>
      </c>
      <c r="E49" s="29" t="s">
        <v>118</v>
      </c>
      <c r="F49" s="11" t="s">
        <v>35</v>
      </c>
      <c r="G49" s="17" t="s">
        <v>29</v>
      </c>
      <c r="H49" s="4" t="s">
        <v>62</v>
      </c>
    </row>
    <row r="50" spans="1:8" x14ac:dyDescent="0.35">
      <c r="A50" s="28" t="s">
        <v>122</v>
      </c>
      <c r="B50" s="28" t="str">
        <f t="shared" si="0"/>
        <v>A09-A10</v>
      </c>
      <c r="C50" s="1" t="s">
        <v>56</v>
      </c>
      <c r="D50" s="28" t="s">
        <v>117</v>
      </c>
      <c r="E50" s="29" t="s">
        <v>118</v>
      </c>
      <c r="F50" s="11" t="s">
        <v>29</v>
      </c>
      <c r="G50" s="17" t="s">
        <v>24</v>
      </c>
      <c r="H50" s="4" t="s">
        <v>62</v>
      </c>
    </row>
    <row r="51" spans="1:8" x14ac:dyDescent="0.35">
      <c r="A51" s="28" t="s">
        <v>123</v>
      </c>
      <c r="B51" s="28" t="str">
        <f t="shared" si="0"/>
        <v>A10-A11</v>
      </c>
      <c r="C51" s="1" t="s">
        <v>56</v>
      </c>
      <c r="D51" s="28"/>
      <c r="E51" s="29" t="s">
        <v>118</v>
      </c>
      <c r="F51" s="11" t="s">
        <v>24</v>
      </c>
      <c r="G51" s="17" t="s">
        <v>28</v>
      </c>
      <c r="H51" s="4" t="s">
        <v>62</v>
      </c>
    </row>
    <row r="52" spans="1:8" x14ac:dyDescent="0.35">
      <c r="A52" s="28" t="s">
        <v>124</v>
      </c>
      <c r="B52" s="28" t="str">
        <f t="shared" si="0"/>
        <v>A11-B10</v>
      </c>
      <c r="C52" s="1" t="s">
        <v>56</v>
      </c>
      <c r="D52" s="28" t="s">
        <v>125</v>
      </c>
      <c r="E52" s="29" t="s">
        <v>118</v>
      </c>
      <c r="F52" s="11" t="s">
        <v>28</v>
      </c>
      <c r="G52" s="17" t="s">
        <v>32</v>
      </c>
      <c r="H52" s="4" t="s">
        <v>62</v>
      </c>
    </row>
    <row r="53" spans="1:8" x14ac:dyDescent="0.35">
      <c r="A53" s="28" t="s">
        <v>126</v>
      </c>
      <c r="B53" s="28" t="str">
        <f t="shared" si="0"/>
        <v>B10-B09</v>
      </c>
      <c r="C53" s="1" t="s">
        <v>56</v>
      </c>
      <c r="D53" s="28" t="s">
        <v>125</v>
      </c>
      <c r="E53" s="29" t="s">
        <v>118</v>
      </c>
      <c r="F53" s="11" t="s">
        <v>32</v>
      </c>
      <c r="G53" s="17" t="s">
        <v>25</v>
      </c>
      <c r="H53" s="4" t="s">
        <v>62</v>
      </c>
    </row>
    <row r="54" spans="1:8" x14ac:dyDescent="0.35">
      <c r="A54" s="28" t="s">
        <v>127</v>
      </c>
      <c r="B54" s="28" t="str">
        <f t="shared" si="0"/>
        <v>B09-D08</v>
      </c>
      <c r="C54" s="1" t="s">
        <v>56</v>
      </c>
      <c r="D54" s="28" t="s">
        <v>125</v>
      </c>
      <c r="E54" s="29" t="s">
        <v>118</v>
      </c>
      <c r="F54" s="11" t="s">
        <v>25</v>
      </c>
      <c r="G54" s="17" t="s">
        <v>33</v>
      </c>
      <c r="H54" s="4" t="s">
        <v>62</v>
      </c>
    </row>
    <row r="55" spans="1:8" x14ac:dyDescent="0.35">
      <c r="A55" s="28" t="s">
        <v>128</v>
      </c>
      <c r="B55" s="28" t="str">
        <f t="shared" si="0"/>
        <v>D08-F08</v>
      </c>
      <c r="C55" s="1" t="s">
        <v>56</v>
      </c>
      <c r="D55" s="28" t="s">
        <v>125</v>
      </c>
      <c r="E55" s="29" t="s">
        <v>118</v>
      </c>
      <c r="F55" s="11" t="s">
        <v>33</v>
      </c>
      <c r="G55" s="17" t="s">
        <v>52</v>
      </c>
      <c r="H55" s="4" t="s">
        <v>62</v>
      </c>
    </row>
    <row r="56" spans="1:8" ht="15" thickBot="1" x14ac:dyDescent="0.4">
      <c r="A56" s="30" t="s">
        <v>129</v>
      </c>
      <c r="B56" s="30" t="str">
        <f t="shared" si="0"/>
        <v>F08-OSS</v>
      </c>
      <c r="C56" s="1" t="s">
        <v>56</v>
      </c>
      <c r="D56" s="30" t="s">
        <v>125</v>
      </c>
      <c r="E56" s="31" t="s">
        <v>118</v>
      </c>
      <c r="F56" s="12" t="s">
        <v>52</v>
      </c>
      <c r="G56" s="18" t="s">
        <v>65</v>
      </c>
      <c r="H56" s="4" t="s">
        <v>56</v>
      </c>
    </row>
    <row r="57" spans="1:8" x14ac:dyDescent="0.35">
      <c r="C57" s="3"/>
    </row>
  </sheetData>
  <autoFilter ref="A1:H1" xr:uid="{ADEFD1A5-8FAE-47C9-B197-6E043DD2116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B1B5-BB14-4D72-BAB0-6BB79BEC2624}">
  <dimension ref="A1:F57"/>
  <sheetViews>
    <sheetView zoomScaleNormal="100" workbookViewId="0">
      <selection activeCell="F1" sqref="F1:F1048576"/>
    </sheetView>
  </sheetViews>
  <sheetFormatPr defaultRowHeight="14.5" x14ac:dyDescent="0.35"/>
  <cols>
    <col min="1" max="1" width="13.26953125" bestFit="1" customWidth="1"/>
    <col min="2" max="2" width="8.90625" customWidth="1"/>
    <col min="4" max="4" width="9.36328125" bestFit="1" customWidth="1"/>
    <col min="5" max="5" width="10.36328125" bestFit="1" customWidth="1"/>
    <col min="6" max="6" width="10.6328125" customWidth="1"/>
  </cols>
  <sheetData>
    <row r="1" spans="1:6" ht="29" x14ac:dyDescent="0.35">
      <c r="A1" s="6" t="s">
        <v>58</v>
      </c>
      <c r="B1" s="6" t="s">
        <v>134</v>
      </c>
      <c r="C1" s="6" t="s">
        <v>0</v>
      </c>
      <c r="D1" s="6" t="s">
        <v>1</v>
      </c>
      <c r="E1" s="6" t="s">
        <v>2</v>
      </c>
      <c r="F1" s="7" t="s">
        <v>66</v>
      </c>
    </row>
    <row r="2" spans="1:6" x14ac:dyDescent="0.35">
      <c r="A2" s="1" t="s">
        <v>14</v>
      </c>
      <c r="B2" s="1" t="s">
        <v>56</v>
      </c>
      <c r="C2" s="1" t="s">
        <v>3</v>
      </c>
      <c r="D2" s="15">
        <v>443088.8027</v>
      </c>
      <c r="E2" s="15">
        <v>5926740.4285000004</v>
      </c>
      <c r="F2" s="5" t="s">
        <v>61</v>
      </c>
    </row>
    <row r="3" spans="1:6" x14ac:dyDescent="0.35">
      <c r="A3" s="1" t="s">
        <v>8</v>
      </c>
      <c r="B3" s="1" t="s">
        <v>56</v>
      </c>
      <c r="C3" s="1" t="s">
        <v>3</v>
      </c>
      <c r="D3" s="15">
        <v>444853.66460000002</v>
      </c>
      <c r="E3" s="15">
        <v>5926754.4106999999</v>
      </c>
      <c r="F3" s="5" t="s">
        <v>61</v>
      </c>
    </row>
    <row r="4" spans="1:6" x14ac:dyDescent="0.35">
      <c r="A4" s="1" t="s">
        <v>5</v>
      </c>
      <c r="B4" s="1" t="s">
        <v>56</v>
      </c>
      <c r="C4" s="1" t="s">
        <v>3</v>
      </c>
      <c r="D4" s="15">
        <v>446248.53989999997</v>
      </c>
      <c r="E4" s="15">
        <v>5926765.4616999999</v>
      </c>
      <c r="F4" s="5" t="s">
        <v>61</v>
      </c>
    </row>
    <row r="5" spans="1:6" x14ac:dyDescent="0.35">
      <c r="A5" s="1" t="s">
        <v>4</v>
      </c>
      <c r="B5" s="1" t="s">
        <v>56</v>
      </c>
      <c r="C5" s="1" t="s">
        <v>3</v>
      </c>
      <c r="D5" s="15">
        <v>447643.73979999998</v>
      </c>
      <c r="E5" s="15">
        <v>5926776.5153000001</v>
      </c>
      <c r="F5" s="5" t="s">
        <v>61</v>
      </c>
    </row>
    <row r="6" spans="1:6" x14ac:dyDescent="0.35">
      <c r="A6" s="1" t="s">
        <v>10</v>
      </c>
      <c r="B6" s="1" t="s">
        <v>56</v>
      </c>
      <c r="C6" s="1" t="s">
        <v>3</v>
      </c>
      <c r="D6" s="15">
        <v>449082.30219999998</v>
      </c>
      <c r="E6" s="15">
        <v>5926787.9123999998</v>
      </c>
      <c r="F6" s="5" t="s">
        <v>61</v>
      </c>
    </row>
    <row r="7" spans="1:6" x14ac:dyDescent="0.35">
      <c r="A7" s="1" t="s">
        <v>17</v>
      </c>
      <c r="B7" s="1" t="s">
        <v>56</v>
      </c>
      <c r="C7" s="1" t="s">
        <v>3</v>
      </c>
      <c r="D7" s="15">
        <v>450468.3934</v>
      </c>
      <c r="E7" s="15">
        <v>5926798.8937999997</v>
      </c>
      <c r="F7" s="5" t="s">
        <v>61</v>
      </c>
    </row>
    <row r="8" spans="1:6" x14ac:dyDescent="0.35">
      <c r="A8" s="1" t="s">
        <v>20</v>
      </c>
      <c r="B8" s="1" t="s">
        <v>56</v>
      </c>
      <c r="C8" s="1" t="s">
        <v>3</v>
      </c>
      <c r="D8" s="15">
        <v>451965.5601</v>
      </c>
      <c r="E8" s="15">
        <v>5926816.5809000004</v>
      </c>
      <c r="F8" s="5" t="s">
        <v>61</v>
      </c>
    </row>
    <row r="9" spans="1:6" x14ac:dyDescent="0.35">
      <c r="A9" s="1" t="s">
        <v>35</v>
      </c>
      <c r="B9" s="1" t="s">
        <v>56</v>
      </c>
      <c r="C9" s="1" t="s">
        <v>3</v>
      </c>
      <c r="D9" s="15">
        <v>453344.40120000002</v>
      </c>
      <c r="E9" s="15">
        <v>5926821.4907999998</v>
      </c>
      <c r="F9" s="5" t="s">
        <v>61</v>
      </c>
    </row>
    <row r="10" spans="1:6" x14ac:dyDescent="0.35">
      <c r="A10" s="1" t="s">
        <v>29</v>
      </c>
      <c r="B10" s="1" t="s">
        <v>56</v>
      </c>
      <c r="C10" s="1" t="s">
        <v>3</v>
      </c>
      <c r="D10" s="15">
        <v>454701.1911</v>
      </c>
      <c r="E10" s="15">
        <v>5926832.1205000002</v>
      </c>
      <c r="F10" s="5" t="s">
        <v>61</v>
      </c>
    </row>
    <row r="11" spans="1:6" x14ac:dyDescent="0.35">
      <c r="A11" s="1" t="s">
        <v>24</v>
      </c>
      <c r="B11" s="1" t="s">
        <v>56</v>
      </c>
      <c r="C11" s="1" t="s">
        <v>3</v>
      </c>
      <c r="D11" s="15">
        <v>455951.71789999999</v>
      </c>
      <c r="E11" s="15">
        <v>5926841.9177000001</v>
      </c>
      <c r="F11" s="5" t="s">
        <v>61</v>
      </c>
    </row>
    <row r="12" spans="1:6" x14ac:dyDescent="0.35">
      <c r="A12" s="1" t="s">
        <v>28</v>
      </c>
      <c r="B12" s="1" t="s">
        <v>56</v>
      </c>
      <c r="C12" s="1" t="s">
        <v>3</v>
      </c>
      <c r="D12" s="15">
        <v>457206.77889999998</v>
      </c>
      <c r="E12" s="15">
        <v>5926851.7503000004</v>
      </c>
      <c r="F12" s="5" t="s">
        <v>61</v>
      </c>
    </row>
    <row r="13" spans="1:6" x14ac:dyDescent="0.35">
      <c r="A13" s="1" t="s">
        <v>18</v>
      </c>
      <c r="B13" s="1" t="s">
        <v>56</v>
      </c>
      <c r="C13" s="1" t="s">
        <v>3</v>
      </c>
      <c r="D13" s="15">
        <v>443092.87349999999</v>
      </c>
      <c r="E13" s="15">
        <v>5925672.8383999998</v>
      </c>
      <c r="F13" s="5" t="s">
        <v>61</v>
      </c>
    </row>
    <row r="14" spans="1:6" x14ac:dyDescent="0.35">
      <c r="A14" s="1" t="s">
        <v>11</v>
      </c>
      <c r="B14" s="1" t="s">
        <v>56</v>
      </c>
      <c r="C14" s="1" t="s">
        <v>3</v>
      </c>
      <c r="D14" s="15">
        <v>444858.09419999999</v>
      </c>
      <c r="E14" s="15">
        <v>5925722.3081999999</v>
      </c>
      <c r="F14" s="5" t="s">
        <v>61</v>
      </c>
    </row>
    <row r="15" spans="1:6" x14ac:dyDescent="0.35">
      <c r="A15" s="1" t="s">
        <v>12</v>
      </c>
      <c r="B15" s="1" t="s">
        <v>56</v>
      </c>
      <c r="C15" s="1" t="s">
        <v>3</v>
      </c>
      <c r="D15" s="15">
        <v>446306.804</v>
      </c>
      <c r="E15" s="15">
        <v>5925744.102</v>
      </c>
      <c r="F15" s="5" t="s">
        <v>61</v>
      </c>
    </row>
    <row r="16" spans="1:6" x14ac:dyDescent="0.35">
      <c r="A16" s="1" t="s">
        <v>15</v>
      </c>
      <c r="B16" s="1" t="s">
        <v>56</v>
      </c>
      <c r="C16" s="1" t="s">
        <v>3</v>
      </c>
      <c r="D16" s="15">
        <v>447647.41399999999</v>
      </c>
      <c r="E16" s="15">
        <v>5925598.8696999997</v>
      </c>
      <c r="F16" s="5" t="s">
        <v>61</v>
      </c>
    </row>
    <row r="17" spans="1:6" x14ac:dyDescent="0.35">
      <c r="A17" s="1" t="s">
        <v>16</v>
      </c>
      <c r="B17" s="1" t="s">
        <v>56</v>
      </c>
      <c r="C17" s="1" t="s">
        <v>3</v>
      </c>
      <c r="D17" s="15">
        <v>449118.62310000003</v>
      </c>
      <c r="E17" s="15">
        <v>5925760.5027999999</v>
      </c>
      <c r="F17" s="5" t="s">
        <v>61</v>
      </c>
    </row>
    <row r="18" spans="1:6" x14ac:dyDescent="0.35">
      <c r="A18" s="1" t="s">
        <v>21</v>
      </c>
      <c r="B18" s="1" t="s">
        <v>56</v>
      </c>
      <c r="C18" s="1" t="s">
        <v>3</v>
      </c>
      <c r="D18" s="15">
        <v>450501.1079</v>
      </c>
      <c r="E18" s="15">
        <v>5925750.5869000005</v>
      </c>
      <c r="F18" s="5" t="s">
        <v>61</v>
      </c>
    </row>
    <row r="19" spans="1:6" x14ac:dyDescent="0.35">
      <c r="A19" s="1" t="s">
        <v>9</v>
      </c>
      <c r="B19" s="1" t="s">
        <v>56</v>
      </c>
      <c r="C19" s="1" t="s">
        <v>3</v>
      </c>
      <c r="D19" s="15">
        <v>451884.2303</v>
      </c>
      <c r="E19" s="15">
        <v>5925707.2302000001</v>
      </c>
      <c r="F19" s="5" t="s">
        <v>61</v>
      </c>
    </row>
    <row r="20" spans="1:6" x14ac:dyDescent="0.35">
      <c r="A20" s="1" t="s">
        <v>19</v>
      </c>
      <c r="B20" s="1" t="s">
        <v>56</v>
      </c>
      <c r="C20" s="1" t="s">
        <v>3</v>
      </c>
      <c r="D20" s="15">
        <v>453171.92200000002</v>
      </c>
      <c r="E20" s="15">
        <v>5925473.7775999997</v>
      </c>
      <c r="F20" s="5" t="s">
        <v>61</v>
      </c>
    </row>
    <row r="21" spans="1:6" x14ac:dyDescent="0.35">
      <c r="A21" s="1" t="s">
        <v>25</v>
      </c>
      <c r="B21" s="1" t="s">
        <v>56</v>
      </c>
      <c r="C21" s="1" t="s">
        <v>3</v>
      </c>
      <c r="D21" s="15">
        <v>454541.50530000002</v>
      </c>
      <c r="E21" s="15">
        <v>5925538.8964</v>
      </c>
      <c r="F21" s="5" t="s">
        <v>61</v>
      </c>
    </row>
    <row r="22" spans="1:6" x14ac:dyDescent="0.35">
      <c r="A22" s="1" t="s">
        <v>32</v>
      </c>
      <c r="B22" s="1" t="s">
        <v>56</v>
      </c>
      <c r="C22" s="1" t="s">
        <v>3</v>
      </c>
      <c r="D22" s="15">
        <v>455865.59909999999</v>
      </c>
      <c r="E22" s="15">
        <v>5925738.2577999998</v>
      </c>
      <c r="F22" s="5" t="s">
        <v>61</v>
      </c>
    </row>
    <row r="23" spans="1:6" x14ac:dyDescent="0.35">
      <c r="A23" s="1" t="s">
        <v>22</v>
      </c>
      <c r="B23" s="1" t="s">
        <v>56</v>
      </c>
      <c r="C23" s="1" t="s">
        <v>3</v>
      </c>
      <c r="D23" s="15">
        <v>443097.15230000002</v>
      </c>
      <c r="E23" s="15">
        <v>5924550.3740999997</v>
      </c>
      <c r="F23" s="5" t="s">
        <v>61</v>
      </c>
    </row>
    <row r="24" spans="1:6" x14ac:dyDescent="0.35">
      <c r="A24" s="1" t="s">
        <v>27</v>
      </c>
      <c r="B24" s="1" t="s">
        <v>56</v>
      </c>
      <c r="C24" s="1" t="s">
        <v>3</v>
      </c>
      <c r="D24" s="15">
        <v>444695.2438</v>
      </c>
      <c r="E24" s="15">
        <v>5924530.9869999997</v>
      </c>
      <c r="F24" s="5" t="s">
        <v>61</v>
      </c>
    </row>
    <row r="25" spans="1:6" x14ac:dyDescent="0.35">
      <c r="A25" s="1" t="s">
        <v>34</v>
      </c>
      <c r="B25" s="1" t="s">
        <v>56</v>
      </c>
      <c r="C25" s="1" t="s">
        <v>3</v>
      </c>
      <c r="D25" s="15">
        <v>446137.12390000001</v>
      </c>
      <c r="E25" s="15">
        <v>5924621.1495000003</v>
      </c>
      <c r="F25" s="5" t="s">
        <v>61</v>
      </c>
    </row>
    <row r="26" spans="1:6" x14ac:dyDescent="0.35">
      <c r="A26" s="1" t="s">
        <v>26</v>
      </c>
      <c r="B26" s="1" t="s">
        <v>56</v>
      </c>
      <c r="C26" s="1" t="s">
        <v>3</v>
      </c>
      <c r="D26" s="15">
        <v>447559.76929999999</v>
      </c>
      <c r="E26" s="15">
        <v>5924472.1304000001</v>
      </c>
      <c r="F26" s="5" t="s">
        <v>61</v>
      </c>
    </row>
    <row r="27" spans="1:6" x14ac:dyDescent="0.35">
      <c r="A27" s="1" t="s">
        <v>7</v>
      </c>
      <c r="B27" s="1" t="s">
        <v>56</v>
      </c>
      <c r="C27" s="1" t="s">
        <v>3</v>
      </c>
      <c r="D27" s="15">
        <v>450377.15769999998</v>
      </c>
      <c r="E27" s="15">
        <v>5924652.8443</v>
      </c>
      <c r="F27" s="5" t="s">
        <v>61</v>
      </c>
    </row>
    <row r="28" spans="1:6" x14ac:dyDescent="0.35">
      <c r="A28" s="1" t="s">
        <v>13</v>
      </c>
      <c r="B28" s="1" t="s">
        <v>56</v>
      </c>
      <c r="C28" s="1" t="s">
        <v>3</v>
      </c>
      <c r="D28" s="15">
        <v>451769.35249999998</v>
      </c>
      <c r="E28" s="15">
        <v>5924460.3476999998</v>
      </c>
      <c r="F28" s="5" t="s">
        <v>61</v>
      </c>
    </row>
    <row r="29" spans="1:6" x14ac:dyDescent="0.35">
      <c r="A29" s="1" t="s">
        <v>23</v>
      </c>
      <c r="B29" s="1" t="s">
        <v>56</v>
      </c>
      <c r="C29" s="1" t="s">
        <v>3</v>
      </c>
      <c r="D29" s="15">
        <v>453148.55459999997</v>
      </c>
      <c r="E29" s="15">
        <v>5924363.7493000003</v>
      </c>
      <c r="F29" s="5" t="s">
        <v>61</v>
      </c>
    </row>
    <row r="30" spans="1:6" x14ac:dyDescent="0.35">
      <c r="A30" s="1" t="s">
        <v>38</v>
      </c>
      <c r="B30" s="1" t="s">
        <v>56</v>
      </c>
      <c r="C30" s="1" t="s">
        <v>3</v>
      </c>
      <c r="D30" s="15">
        <v>443101.7856</v>
      </c>
      <c r="E30" s="15">
        <v>5923335.0530000003</v>
      </c>
      <c r="F30" s="5" t="s">
        <v>61</v>
      </c>
    </row>
    <row r="31" spans="1:6" x14ac:dyDescent="0.35">
      <c r="A31" s="1" t="s">
        <v>37</v>
      </c>
      <c r="B31" s="1" t="s">
        <v>56</v>
      </c>
      <c r="C31" s="1" t="s">
        <v>3</v>
      </c>
      <c r="D31" s="15">
        <v>444609.62439999997</v>
      </c>
      <c r="E31" s="15">
        <v>5922980.8535000002</v>
      </c>
      <c r="F31" s="5" t="s">
        <v>61</v>
      </c>
    </row>
    <row r="32" spans="1:6" x14ac:dyDescent="0.35">
      <c r="A32" s="1" t="s">
        <v>31</v>
      </c>
      <c r="B32" s="1" t="s">
        <v>56</v>
      </c>
      <c r="C32" s="1" t="s">
        <v>3</v>
      </c>
      <c r="D32" s="15">
        <v>446107.67910000001</v>
      </c>
      <c r="E32" s="15">
        <v>5923540.4664000003</v>
      </c>
      <c r="F32" s="5" t="s">
        <v>61</v>
      </c>
    </row>
    <row r="33" spans="1:6" x14ac:dyDescent="0.35">
      <c r="A33" s="1" t="s">
        <v>39</v>
      </c>
      <c r="B33" s="1" t="s">
        <v>56</v>
      </c>
      <c r="C33" s="1" t="s">
        <v>3</v>
      </c>
      <c r="D33" s="15">
        <v>447399.98560000001</v>
      </c>
      <c r="E33" s="15">
        <v>5923286.1697000004</v>
      </c>
      <c r="F33" s="5" t="s">
        <v>61</v>
      </c>
    </row>
    <row r="34" spans="1:6" x14ac:dyDescent="0.35">
      <c r="A34" s="1" t="s">
        <v>53</v>
      </c>
      <c r="B34" s="1" t="s">
        <v>56</v>
      </c>
      <c r="C34" s="1" t="s">
        <v>3</v>
      </c>
      <c r="D34" s="15">
        <v>448879.7586</v>
      </c>
      <c r="E34" s="15">
        <v>5923568.3879000004</v>
      </c>
      <c r="F34" s="5" t="s">
        <v>61</v>
      </c>
    </row>
    <row r="35" spans="1:6" x14ac:dyDescent="0.35">
      <c r="A35" s="1" t="s">
        <v>42</v>
      </c>
      <c r="B35" s="1" t="s">
        <v>56</v>
      </c>
      <c r="C35" s="1" t="s">
        <v>3</v>
      </c>
      <c r="D35" s="15">
        <v>450224.45169999998</v>
      </c>
      <c r="E35" s="15">
        <v>5923406.2419999996</v>
      </c>
      <c r="F35" s="5" t="s">
        <v>61</v>
      </c>
    </row>
    <row r="36" spans="1:6" x14ac:dyDescent="0.35">
      <c r="A36" s="1" t="s">
        <v>41</v>
      </c>
      <c r="B36" s="1" t="s">
        <v>56</v>
      </c>
      <c r="C36" s="1" t="s">
        <v>3</v>
      </c>
      <c r="D36" s="15">
        <v>451652.96019999997</v>
      </c>
      <c r="E36" s="15">
        <v>5923167.5865000002</v>
      </c>
      <c r="F36" s="5" t="s">
        <v>61</v>
      </c>
    </row>
    <row r="37" spans="1:6" x14ac:dyDescent="0.35">
      <c r="A37" s="1" t="s">
        <v>33</v>
      </c>
      <c r="B37" s="1" t="s">
        <v>56</v>
      </c>
      <c r="C37" s="1" t="s">
        <v>3</v>
      </c>
      <c r="D37" s="15">
        <v>453042.25199999998</v>
      </c>
      <c r="E37" s="15">
        <v>5923221.8696999997</v>
      </c>
      <c r="F37" s="5" t="s">
        <v>61</v>
      </c>
    </row>
    <row r="38" spans="1:6" x14ac:dyDescent="0.35">
      <c r="A38" s="1" t="s">
        <v>6</v>
      </c>
      <c r="B38" s="1" t="s">
        <v>56</v>
      </c>
      <c r="C38" s="1" t="s">
        <v>3</v>
      </c>
      <c r="D38" s="15">
        <v>443105.85700000002</v>
      </c>
      <c r="E38" s="15">
        <v>5922267.1327</v>
      </c>
      <c r="F38" s="5" t="s">
        <v>61</v>
      </c>
    </row>
    <row r="39" spans="1:6" x14ac:dyDescent="0.35">
      <c r="A39" s="1" t="s">
        <v>44</v>
      </c>
      <c r="B39" s="1" t="s">
        <v>56</v>
      </c>
      <c r="C39" s="1" t="s">
        <v>3</v>
      </c>
      <c r="D39" s="15">
        <v>444406.18320000003</v>
      </c>
      <c r="E39" s="15">
        <v>5921798.2410000004</v>
      </c>
      <c r="F39" s="5" t="s">
        <v>61</v>
      </c>
    </row>
    <row r="40" spans="1:6" x14ac:dyDescent="0.35">
      <c r="A40" s="1" t="s">
        <v>36</v>
      </c>
      <c r="B40" s="1" t="s">
        <v>56</v>
      </c>
      <c r="C40" s="1" t="s">
        <v>3</v>
      </c>
      <c r="D40" s="15">
        <v>446002.61709999997</v>
      </c>
      <c r="E40" s="15">
        <v>5922377.7856000001</v>
      </c>
      <c r="F40" s="5" t="s">
        <v>61</v>
      </c>
    </row>
    <row r="41" spans="1:6" x14ac:dyDescent="0.35">
      <c r="A41" s="1" t="s">
        <v>30</v>
      </c>
      <c r="B41" s="1" t="s">
        <v>56</v>
      </c>
      <c r="C41" s="1" t="s">
        <v>3</v>
      </c>
      <c r="D41" s="15">
        <v>447321.2157</v>
      </c>
      <c r="E41" s="15">
        <v>5922155.3957000002</v>
      </c>
      <c r="F41" s="5" t="s">
        <v>61</v>
      </c>
    </row>
    <row r="42" spans="1:6" x14ac:dyDescent="0.35">
      <c r="A42" s="1" t="s">
        <v>45</v>
      </c>
      <c r="B42" s="1" t="s">
        <v>56</v>
      </c>
      <c r="C42" s="1" t="s">
        <v>3</v>
      </c>
      <c r="D42" s="15">
        <v>450168.83750000002</v>
      </c>
      <c r="E42" s="15">
        <v>5922329.3293000003</v>
      </c>
      <c r="F42" s="5" t="s">
        <v>61</v>
      </c>
    </row>
    <row r="43" spans="1:6" x14ac:dyDescent="0.35">
      <c r="A43" s="1" t="s">
        <v>40</v>
      </c>
      <c r="B43" s="1" t="s">
        <v>56</v>
      </c>
      <c r="C43" s="1" t="s">
        <v>3</v>
      </c>
      <c r="D43" s="15">
        <v>445872.24040000001</v>
      </c>
      <c r="E43" s="15">
        <v>5921269.5873999996</v>
      </c>
      <c r="F43" s="5" t="s">
        <v>61</v>
      </c>
    </row>
    <row r="44" spans="1:6" x14ac:dyDescent="0.35">
      <c r="A44" s="1" t="s">
        <v>46</v>
      </c>
      <c r="B44" s="1" t="s">
        <v>56</v>
      </c>
      <c r="C44" s="1" t="s">
        <v>3</v>
      </c>
      <c r="D44" s="15">
        <v>447172.71970000002</v>
      </c>
      <c r="E44" s="15">
        <v>5920800.6169999996</v>
      </c>
      <c r="F44" s="5" t="s">
        <v>61</v>
      </c>
    </row>
    <row r="45" spans="1:6" x14ac:dyDescent="0.35">
      <c r="A45" s="1" t="s">
        <v>43</v>
      </c>
      <c r="B45" s="1" t="s">
        <v>56</v>
      </c>
      <c r="C45" s="1" t="s">
        <v>3</v>
      </c>
      <c r="D45" s="15">
        <v>448685.48479999998</v>
      </c>
      <c r="E45" s="15">
        <v>5921383.6398</v>
      </c>
      <c r="F45" s="5" t="s">
        <v>61</v>
      </c>
    </row>
    <row r="46" spans="1:6" x14ac:dyDescent="0.35">
      <c r="A46" s="1" t="s">
        <v>50</v>
      </c>
      <c r="B46" s="1" t="s">
        <v>56</v>
      </c>
      <c r="C46" s="1" t="s">
        <v>3</v>
      </c>
      <c r="D46" s="15">
        <v>449952.50870000001</v>
      </c>
      <c r="E46" s="15">
        <v>5921209.0383000001</v>
      </c>
      <c r="F46" s="5" t="s">
        <v>61</v>
      </c>
    </row>
    <row r="47" spans="1:6" x14ac:dyDescent="0.35">
      <c r="A47" s="1" t="s">
        <v>51</v>
      </c>
      <c r="B47" s="1" t="s">
        <v>56</v>
      </c>
      <c r="C47" s="1" t="s">
        <v>3</v>
      </c>
      <c r="D47" s="15">
        <v>451468.89179999998</v>
      </c>
      <c r="E47" s="15">
        <v>5921441.3432999998</v>
      </c>
      <c r="F47" s="5" t="s">
        <v>61</v>
      </c>
    </row>
    <row r="48" spans="1:6" x14ac:dyDescent="0.35">
      <c r="A48" s="1" t="s">
        <v>52</v>
      </c>
      <c r="B48" s="1" t="s">
        <v>56</v>
      </c>
      <c r="C48" s="1" t="s">
        <v>3</v>
      </c>
      <c r="D48" s="15">
        <v>452888.74979999999</v>
      </c>
      <c r="E48" s="15">
        <v>5921513.1471999995</v>
      </c>
      <c r="F48" s="5" t="s">
        <v>61</v>
      </c>
    </row>
    <row r="49" spans="1:6" x14ac:dyDescent="0.35">
      <c r="A49" s="1" t="s">
        <v>47</v>
      </c>
      <c r="B49" s="1" t="s">
        <v>56</v>
      </c>
      <c r="C49" s="1" t="s">
        <v>3</v>
      </c>
      <c r="D49" s="15">
        <v>448580.50630000001</v>
      </c>
      <c r="E49" s="15">
        <v>5920292.7520000003</v>
      </c>
      <c r="F49" s="5" t="s">
        <v>61</v>
      </c>
    </row>
    <row r="50" spans="1:6" x14ac:dyDescent="0.35">
      <c r="A50" s="1" t="s">
        <v>48</v>
      </c>
      <c r="B50" s="1" t="s">
        <v>56</v>
      </c>
      <c r="C50" s="1" t="s">
        <v>3</v>
      </c>
      <c r="D50" s="15">
        <v>449862.7892</v>
      </c>
      <c r="E50" s="15">
        <v>5919830.1629999997</v>
      </c>
      <c r="F50" s="5" t="s">
        <v>61</v>
      </c>
    </row>
    <row r="51" spans="1:6" x14ac:dyDescent="0.35">
      <c r="A51" s="1" t="s">
        <v>49</v>
      </c>
      <c r="B51" s="1" t="s">
        <v>56</v>
      </c>
      <c r="C51" s="1" t="s">
        <v>3</v>
      </c>
      <c r="D51" s="15">
        <v>451376.05729999999</v>
      </c>
      <c r="E51" s="15">
        <v>5920298.3925000001</v>
      </c>
      <c r="F51" s="5" t="s">
        <v>61</v>
      </c>
    </row>
    <row r="52" spans="1:6" x14ac:dyDescent="0.35">
      <c r="A52" s="21" t="s">
        <v>65</v>
      </c>
      <c r="B52" s="1" t="s">
        <v>62</v>
      </c>
      <c r="C52" s="1" t="s">
        <v>65</v>
      </c>
      <c r="D52" s="15">
        <v>451560.92599999998</v>
      </c>
      <c r="E52" s="22">
        <v>5922304.4649</v>
      </c>
      <c r="F52" s="23"/>
    </row>
    <row r="54" spans="1:6" x14ac:dyDescent="0.35">
      <c r="A54" s="3"/>
      <c r="B54" s="3"/>
    </row>
    <row r="57" spans="1:6" x14ac:dyDescent="0.35">
      <c r="A57" s="3"/>
      <c r="B57" s="3"/>
    </row>
  </sheetData>
  <autoFilter ref="A1:F1" xr:uid="{A82EA8D4-BAA5-468E-B97E-DC4F4ED9B933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562A-0193-463C-8D4E-3D45B26E877E}">
  <dimension ref="A1:G57"/>
  <sheetViews>
    <sheetView workbookViewId="0">
      <selection activeCell="L16" sqref="L16"/>
    </sheetView>
  </sheetViews>
  <sheetFormatPr defaultRowHeight="14.5" x14ac:dyDescent="0.35"/>
  <cols>
    <col min="2" max="3" width="12.6328125" customWidth="1"/>
    <col min="4" max="4" width="12.08984375" bestFit="1" customWidth="1"/>
    <col min="5" max="5" width="11.453125" bestFit="1" customWidth="1"/>
    <col min="6" max="6" width="13.08984375" bestFit="1" customWidth="1"/>
    <col min="7" max="7" width="12.36328125" bestFit="1" customWidth="1"/>
  </cols>
  <sheetData>
    <row r="1" spans="1:7" x14ac:dyDescent="0.35">
      <c r="A1" s="23"/>
      <c r="B1" s="39" t="s">
        <v>59</v>
      </c>
      <c r="C1" s="39"/>
      <c r="D1" s="39" t="s">
        <v>60</v>
      </c>
      <c r="E1" s="39"/>
      <c r="F1" s="39" t="s">
        <v>3</v>
      </c>
      <c r="G1" s="39"/>
    </row>
    <row r="2" spans="1:7" x14ac:dyDescent="0.35">
      <c r="A2" s="7" t="s">
        <v>137</v>
      </c>
      <c r="B2" s="8" t="s">
        <v>138</v>
      </c>
      <c r="C2" s="8" t="s">
        <v>139</v>
      </c>
      <c r="D2" s="8" t="s">
        <v>138</v>
      </c>
      <c r="E2" s="8" t="s">
        <v>139</v>
      </c>
      <c r="F2" s="8" t="s">
        <v>138</v>
      </c>
      <c r="G2" s="8" t="s">
        <v>139</v>
      </c>
    </row>
    <row r="3" spans="1:7" x14ac:dyDescent="0.35">
      <c r="A3" s="24">
        <v>1</v>
      </c>
      <c r="B3" s="9">
        <v>47574</v>
      </c>
      <c r="C3" s="9">
        <f t="shared" ref="C3:C34" si="0">B3+1</f>
        <v>47575</v>
      </c>
      <c r="D3" s="25">
        <v>47696</v>
      </c>
      <c r="E3" s="25">
        <f t="shared" ref="E3:E34" si="1">D3+0.7</f>
        <v>47696.7</v>
      </c>
      <c r="F3" s="9">
        <v>47908</v>
      </c>
      <c r="G3" s="9">
        <f>F4</f>
        <v>47912</v>
      </c>
    </row>
    <row r="4" spans="1:7" x14ac:dyDescent="0.35">
      <c r="A4" s="5">
        <v>2</v>
      </c>
      <c r="B4" s="9">
        <f t="shared" ref="B4:B35" si="2">B3+1</f>
        <v>47575</v>
      </c>
      <c r="C4" s="9">
        <f t="shared" si="0"/>
        <v>47576</v>
      </c>
      <c r="D4" s="9">
        <f t="shared" ref="D4:D35" si="3">D3+0.7</f>
        <v>47696.7</v>
      </c>
      <c r="E4" s="9">
        <f t="shared" si="1"/>
        <v>47697.399999999994</v>
      </c>
      <c r="F4" s="9">
        <f t="shared" ref="F4:F35" si="4">F3+4</f>
        <v>47912</v>
      </c>
      <c r="G4" s="9">
        <f t="shared" ref="G4:G35" si="5">G3+4</f>
        <v>47916</v>
      </c>
    </row>
    <row r="5" spans="1:7" x14ac:dyDescent="0.35">
      <c r="A5" s="5">
        <v>3</v>
      </c>
      <c r="B5" s="9">
        <f t="shared" si="2"/>
        <v>47576</v>
      </c>
      <c r="C5" s="9">
        <f t="shared" si="0"/>
        <v>47577</v>
      </c>
      <c r="D5" s="9">
        <f t="shared" si="3"/>
        <v>47697.399999999994</v>
      </c>
      <c r="E5" s="9">
        <f t="shared" si="1"/>
        <v>47698.099999999991</v>
      </c>
      <c r="F5" s="9">
        <f t="shared" si="4"/>
        <v>47916</v>
      </c>
      <c r="G5" s="9">
        <f t="shared" si="5"/>
        <v>47920</v>
      </c>
    </row>
    <row r="6" spans="1:7" x14ac:dyDescent="0.35">
      <c r="A6" s="5">
        <v>4</v>
      </c>
      <c r="B6" s="9">
        <f t="shared" si="2"/>
        <v>47577</v>
      </c>
      <c r="C6" s="9">
        <f t="shared" si="0"/>
        <v>47578</v>
      </c>
      <c r="D6" s="9">
        <f t="shared" si="3"/>
        <v>47698.099999999991</v>
      </c>
      <c r="E6" s="9">
        <f t="shared" si="1"/>
        <v>47698.799999999988</v>
      </c>
      <c r="F6" s="9">
        <f t="shared" si="4"/>
        <v>47920</v>
      </c>
      <c r="G6" s="9">
        <f t="shared" si="5"/>
        <v>47924</v>
      </c>
    </row>
    <row r="7" spans="1:7" x14ac:dyDescent="0.35">
      <c r="A7" s="5">
        <v>5</v>
      </c>
      <c r="B7" s="9">
        <f t="shared" si="2"/>
        <v>47578</v>
      </c>
      <c r="C7" s="9">
        <f t="shared" si="0"/>
        <v>47579</v>
      </c>
      <c r="D7" s="9">
        <f t="shared" si="3"/>
        <v>47698.799999999988</v>
      </c>
      <c r="E7" s="9">
        <f t="shared" si="1"/>
        <v>47699.499999999985</v>
      </c>
      <c r="F7" s="9">
        <f t="shared" si="4"/>
        <v>47924</v>
      </c>
      <c r="G7" s="9">
        <f t="shared" si="5"/>
        <v>47928</v>
      </c>
    </row>
    <row r="8" spans="1:7" x14ac:dyDescent="0.35">
      <c r="A8" s="5">
        <v>6</v>
      </c>
      <c r="B8" s="9">
        <f t="shared" si="2"/>
        <v>47579</v>
      </c>
      <c r="C8" s="9">
        <f t="shared" si="0"/>
        <v>47580</v>
      </c>
      <c r="D8" s="9">
        <f t="shared" si="3"/>
        <v>47699.499999999985</v>
      </c>
      <c r="E8" s="9">
        <f t="shared" si="1"/>
        <v>47700.199999999983</v>
      </c>
      <c r="F8" s="9">
        <f t="shared" si="4"/>
        <v>47928</v>
      </c>
      <c r="G8" s="9">
        <f t="shared" si="5"/>
        <v>47932</v>
      </c>
    </row>
    <row r="9" spans="1:7" x14ac:dyDescent="0.35">
      <c r="A9" s="5">
        <v>7</v>
      </c>
      <c r="B9" s="9">
        <f t="shared" si="2"/>
        <v>47580</v>
      </c>
      <c r="C9" s="9">
        <f t="shared" si="0"/>
        <v>47581</v>
      </c>
      <c r="D9" s="9">
        <f t="shared" si="3"/>
        <v>47700.199999999983</v>
      </c>
      <c r="E9" s="9">
        <f t="shared" si="1"/>
        <v>47700.89999999998</v>
      </c>
      <c r="F9" s="9">
        <f t="shared" si="4"/>
        <v>47932</v>
      </c>
      <c r="G9" s="9">
        <f t="shared" si="5"/>
        <v>47936</v>
      </c>
    </row>
    <row r="10" spans="1:7" x14ac:dyDescent="0.35">
      <c r="A10" s="5">
        <v>8</v>
      </c>
      <c r="B10" s="9">
        <f t="shared" si="2"/>
        <v>47581</v>
      </c>
      <c r="C10" s="9">
        <f t="shared" si="0"/>
        <v>47582</v>
      </c>
      <c r="D10" s="9">
        <f t="shared" si="3"/>
        <v>47700.89999999998</v>
      </c>
      <c r="E10" s="9">
        <f t="shared" si="1"/>
        <v>47701.599999999977</v>
      </c>
      <c r="F10" s="9">
        <f t="shared" si="4"/>
        <v>47936</v>
      </c>
      <c r="G10" s="9">
        <f t="shared" si="5"/>
        <v>47940</v>
      </c>
    </row>
    <row r="11" spans="1:7" x14ac:dyDescent="0.35">
      <c r="A11" s="5">
        <v>9</v>
      </c>
      <c r="B11" s="9">
        <f t="shared" si="2"/>
        <v>47582</v>
      </c>
      <c r="C11" s="9">
        <f t="shared" si="0"/>
        <v>47583</v>
      </c>
      <c r="D11" s="9">
        <f t="shared" si="3"/>
        <v>47701.599999999977</v>
      </c>
      <c r="E11" s="9">
        <f t="shared" si="1"/>
        <v>47702.299999999974</v>
      </c>
      <c r="F11" s="9">
        <f t="shared" si="4"/>
        <v>47940</v>
      </c>
      <c r="G11" s="9">
        <f t="shared" si="5"/>
        <v>47944</v>
      </c>
    </row>
    <row r="12" spans="1:7" x14ac:dyDescent="0.35">
      <c r="A12" s="5">
        <v>10</v>
      </c>
      <c r="B12" s="9">
        <f t="shared" si="2"/>
        <v>47583</v>
      </c>
      <c r="C12" s="9">
        <f t="shared" si="0"/>
        <v>47584</v>
      </c>
      <c r="D12" s="9">
        <f t="shared" si="3"/>
        <v>47702.299999999974</v>
      </c>
      <c r="E12" s="9">
        <f t="shared" si="1"/>
        <v>47702.999999999971</v>
      </c>
      <c r="F12" s="9">
        <f t="shared" si="4"/>
        <v>47944</v>
      </c>
      <c r="G12" s="9">
        <f t="shared" si="5"/>
        <v>47948</v>
      </c>
    </row>
    <row r="13" spans="1:7" x14ac:dyDescent="0.35">
      <c r="A13" s="5">
        <v>11</v>
      </c>
      <c r="B13" s="9">
        <f t="shared" si="2"/>
        <v>47584</v>
      </c>
      <c r="C13" s="9">
        <f t="shared" si="0"/>
        <v>47585</v>
      </c>
      <c r="D13" s="9">
        <f t="shared" si="3"/>
        <v>47702.999999999971</v>
      </c>
      <c r="E13" s="9">
        <f t="shared" si="1"/>
        <v>47703.699999999968</v>
      </c>
      <c r="F13" s="9">
        <f t="shared" si="4"/>
        <v>47948</v>
      </c>
      <c r="G13" s="9">
        <f t="shared" si="5"/>
        <v>47952</v>
      </c>
    </row>
    <row r="14" spans="1:7" x14ac:dyDescent="0.35">
      <c r="A14" s="5">
        <v>12</v>
      </c>
      <c r="B14" s="9">
        <f t="shared" si="2"/>
        <v>47585</v>
      </c>
      <c r="C14" s="9">
        <f t="shared" si="0"/>
        <v>47586</v>
      </c>
      <c r="D14" s="9">
        <f t="shared" si="3"/>
        <v>47703.699999999968</v>
      </c>
      <c r="E14" s="9">
        <f t="shared" si="1"/>
        <v>47704.399999999965</v>
      </c>
      <c r="F14" s="9">
        <f t="shared" si="4"/>
        <v>47952</v>
      </c>
      <c r="G14" s="9">
        <f t="shared" si="5"/>
        <v>47956</v>
      </c>
    </row>
    <row r="15" spans="1:7" x14ac:dyDescent="0.35">
      <c r="A15" s="5">
        <v>13</v>
      </c>
      <c r="B15" s="9">
        <f t="shared" si="2"/>
        <v>47586</v>
      </c>
      <c r="C15" s="9">
        <f t="shared" si="0"/>
        <v>47587</v>
      </c>
      <c r="D15" s="9">
        <f t="shared" si="3"/>
        <v>47704.399999999965</v>
      </c>
      <c r="E15" s="9">
        <f t="shared" si="1"/>
        <v>47705.099999999962</v>
      </c>
      <c r="F15" s="9">
        <f t="shared" si="4"/>
        <v>47956</v>
      </c>
      <c r="G15" s="9">
        <f t="shared" si="5"/>
        <v>47960</v>
      </c>
    </row>
    <row r="16" spans="1:7" x14ac:dyDescent="0.35">
      <c r="A16" s="5">
        <v>14</v>
      </c>
      <c r="B16" s="9">
        <f t="shared" si="2"/>
        <v>47587</v>
      </c>
      <c r="C16" s="9">
        <f t="shared" si="0"/>
        <v>47588</v>
      </c>
      <c r="D16" s="9">
        <f t="shared" si="3"/>
        <v>47705.099999999962</v>
      </c>
      <c r="E16" s="9">
        <f t="shared" si="1"/>
        <v>47705.799999999959</v>
      </c>
      <c r="F16" s="9">
        <f t="shared" si="4"/>
        <v>47960</v>
      </c>
      <c r="G16" s="9">
        <f t="shared" si="5"/>
        <v>47964</v>
      </c>
    </row>
    <row r="17" spans="1:7" x14ac:dyDescent="0.35">
      <c r="A17" s="5">
        <v>15</v>
      </c>
      <c r="B17" s="9">
        <f t="shared" si="2"/>
        <v>47588</v>
      </c>
      <c r="C17" s="9">
        <f t="shared" si="0"/>
        <v>47589</v>
      </c>
      <c r="D17" s="9">
        <f t="shared" si="3"/>
        <v>47705.799999999959</v>
      </c>
      <c r="E17" s="9">
        <f t="shared" si="1"/>
        <v>47706.499999999956</v>
      </c>
      <c r="F17" s="9">
        <f t="shared" si="4"/>
        <v>47964</v>
      </c>
      <c r="G17" s="9">
        <f t="shared" si="5"/>
        <v>47968</v>
      </c>
    </row>
    <row r="18" spans="1:7" x14ac:dyDescent="0.35">
      <c r="A18" s="5">
        <v>16</v>
      </c>
      <c r="B18" s="9">
        <f t="shared" si="2"/>
        <v>47589</v>
      </c>
      <c r="C18" s="9">
        <f t="shared" si="0"/>
        <v>47590</v>
      </c>
      <c r="D18" s="9">
        <f t="shared" si="3"/>
        <v>47706.499999999956</v>
      </c>
      <c r="E18" s="9">
        <f t="shared" si="1"/>
        <v>47707.199999999953</v>
      </c>
      <c r="F18" s="9">
        <f t="shared" si="4"/>
        <v>47968</v>
      </c>
      <c r="G18" s="9">
        <f t="shared" si="5"/>
        <v>47972</v>
      </c>
    </row>
    <row r="19" spans="1:7" x14ac:dyDescent="0.35">
      <c r="A19" s="5">
        <v>17</v>
      </c>
      <c r="B19" s="9">
        <f t="shared" si="2"/>
        <v>47590</v>
      </c>
      <c r="C19" s="9">
        <f t="shared" si="0"/>
        <v>47591</v>
      </c>
      <c r="D19" s="9">
        <f t="shared" si="3"/>
        <v>47707.199999999953</v>
      </c>
      <c r="E19" s="9">
        <f t="shared" si="1"/>
        <v>47707.899999999951</v>
      </c>
      <c r="F19" s="9">
        <f t="shared" si="4"/>
        <v>47972</v>
      </c>
      <c r="G19" s="9">
        <f t="shared" si="5"/>
        <v>47976</v>
      </c>
    </row>
    <row r="20" spans="1:7" x14ac:dyDescent="0.35">
      <c r="A20" s="5">
        <v>18</v>
      </c>
      <c r="B20" s="9">
        <f t="shared" si="2"/>
        <v>47591</v>
      </c>
      <c r="C20" s="9">
        <f t="shared" si="0"/>
        <v>47592</v>
      </c>
      <c r="D20" s="9">
        <f t="shared" si="3"/>
        <v>47707.899999999951</v>
      </c>
      <c r="E20" s="9">
        <f t="shared" si="1"/>
        <v>47708.599999999948</v>
      </c>
      <c r="F20" s="9">
        <f t="shared" si="4"/>
        <v>47976</v>
      </c>
      <c r="G20" s="9">
        <f t="shared" si="5"/>
        <v>47980</v>
      </c>
    </row>
    <row r="21" spans="1:7" x14ac:dyDescent="0.35">
      <c r="A21" s="5">
        <v>19</v>
      </c>
      <c r="B21" s="9">
        <f t="shared" si="2"/>
        <v>47592</v>
      </c>
      <c r="C21" s="9">
        <f t="shared" si="0"/>
        <v>47593</v>
      </c>
      <c r="D21" s="9">
        <f t="shared" si="3"/>
        <v>47708.599999999948</v>
      </c>
      <c r="E21" s="9">
        <f t="shared" si="1"/>
        <v>47709.299999999945</v>
      </c>
      <c r="F21" s="9">
        <f t="shared" si="4"/>
        <v>47980</v>
      </c>
      <c r="G21" s="9">
        <f t="shared" si="5"/>
        <v>47984</v>
      </c>
    </row>
    <row r="22" spans="1:7" x14ac:dyDescent="0.35">
      <c r="A22" s="5">
        <v>20</v>
      </c>
      <c r="B22" s="9">
        <f t="shared" si="2"/>
        <v>47593</v>
      </c>
      <c r="C22" s="9">
        <f t="shared" si="0"/>
        <v>47594</v>
      </c>
      <c r="D22" s="9">
        <f t="shared" si="3"/>
        <v>47709.299999999945</v>
      </c>
      <c r="E22" s="9">
        <f t="shared" si="1"/>
        <v>47709.999999999942</v>
      </c>
      <c r="F22" s="9">
        <f t="shared" si="4"/>
        <v>47984</v>
      </c>
      <c r="G22" s="9">
        <f t="shared" si="5"/>
        <v>47988</v>
      </c>
    </row>
    <row r="23" spans="1:7" x14ac:dyDescent="0.35">
      <c r="A23" s="5">
        <v>21</v>
      </c>
      <c r="B23" s="9">
        <f t="shared" si="2"/>
        <v>47594</v>
      </c>
      <c r="C23" s="9">
        <f t="shared" si="0"/>
        <v>47595</v>
      </c>
      <c r="D23" s="9">
        <f t="shared" si="3"/>
        <v>47709.999999999942</v>
      </c>
      <c r="E23" s="9">
        <f t="shared" si="1"/>
        <v>47710.699999999939</v>
      </c>
      <c r="F23" s="9">
        <f t="shared" si="4"/>
        <v>47988</v>
      </c>
      <c r="G23" s="9">
        <f t="shared" si="5"/>
        <v>47992</v>
      </c>
    </row>
    <row r="24" spans="1:7" x14ac:dyDescent="0.35">
      <c r="A24" s="5">
        <v>22</v>
      </c>
      <c r="B24" s="9">
        <f t="shared" si="2"/>
        <v>47595</v>
      </c>
      <c r="C24" s="9">
        <f t="shared" si="0"/>
        <v>47596</v>
      </c>
      <c r="D24" s="9">
        <f t="shared" si="3"/>
        <v>47710.699999999939</v>
      </c>
      <c r="E24" s="9">
        <f t="shared" si="1"/>
        <v>47711.399999999936</v>
      </c>
      <c r="F24" s="9">
        <f t="shared" si="4"/>
        <v>47992</v>
      </c>
      <c r="G24" s="9">
        <f t="shared" si="5"/>
        <v>47996</v>
      </c>
    </row>
    <row r="25" spans="1:7" x14ac:dyDescent="0.35">
      <c r="A25" s="5">
        <v>23</v>
      </c>
      <c r="B25" s="9">
        <f t="shared" si="2"/>
        <v>47596</v>
      </c>
      <c r="C25" s="9">
        <f t="shared" si="0"/>
        <v>47597</v>
      </c>
      <c r="D25" s="9">
        <f t="shared" si="3"/>
        <v>47711.399999999936</v>
      </c>
      <c r="E25" s="9">
        <f t="shared" si="1"/>
        <v>47712.099999999933</v>
      </c>
      <c r="F25" s="9">
        <f t="shared" si="4"/>
        <v>47996</v>
      </c>
      <c r="G25" s="9">
        <f t="shared" si="5"/>
        <v>48000</v>
      </c>
    </row>
    <row r="26" spans="1:7" x14ac:dyDescent="0.35">
      <c r="A26" s="5">
        <v>24</v>
      </c>
      <c r="B26" s="9">
        <f t="shared" si="2"/>
        <v>47597</v>
      </c>
      <c r="C26" s="9">
        <f t="shared" si="0"/>
        <v>47598</v>
      </c>
      <c r="D26" s="9">
        <f t="shared" si="3"/>
        <v>47712.099999999933</v>
      </c>
      <c r="E26" s="9">
        <f t="shared" si="1"/>
        <v>47712.79999999993</v>
      </c>
      <c r="F26" s="9">
        <f t="shared" si="4"/>
        <v>48000</v>
      </c>
      <c r="G26" s="9">
        <f t="shared" si="5"/>
        <v>48004</v>
      </c>
    </row>
    <row r="27" spans="1:7" x14ac:dyDescent="0.35">
      <c r="A27" s="5">
        <v>25</v>
      </c>
      <c r="B27" s="9">
        <f t="shared" si="2"/>
        <v>47598</v>
      </c>
      <c r="C27" s="9">
        <f t="shared" si="0"/>
        <v>47599</v>
      </c>
      <c r="D27" s="9">
        <f t="shared" si="3"/>
        <v>47712.79999999993</v>
      </c>
      <c r="E27" s="9">
        <f t="shared" si="1"/>
        <v>47713.499999999927</v>
      </c>
      <c r="F27" s="9">
        <f t="shared" si="4"/>
        <v>48004</v>
      </c>
      <c r="G27" s="9">
        <f t="shared" si="5"/>
        <v>48008</v>
      </c>
    </row>
    <row r="28" spans="1:7" x14ac:dyDescent="0.35">
      <c r="A28" s="5">
        <v>26</v>
      </c>
      <c r="B28" s="9">
        <f t="shared" si="2"/>
        <v>47599</v>
      </c>
      <c r="C28" s="9">
        <f t="shared" si="0"/>
        <v>47600</v>
      </c>
      <c r="D28" s="9">
        <f t="shared" si="3"/>
        <v>47713.499999999927</v>
      </c>
      <c r="E28" s="9">
        <f t="shared" si="1"/>
        <v>47714.199999999924</v>
      </c>
      <c r="F28" s="9">
        <f t="shared" si="4"/>
        <v>48008</v>
      </c>
      <c r="G28" s="9">
        <f t="shared" si="5"/>
        <v>48012</v>
      </c>
    </row>
    <row r="29" spans="1:7" x14ac:dyDescent="0.35">
      <c r="A29" s="5">
        <v>27</v>
      </c>
      <c r="B29" s="9">
        <f t="shared" si="2"/>
        <v>47600</v>
      </c>
      <c r="C29" s="9">
        <f t="shared" si="0"/>
        <v>47601</v>
      </c>
      <c r="D29" s="9">
        <f t="shared" si="3"/>
        <v>47714.199999999924</v>
      </c>
      <c r="E29" s="9">
        <f t="shared" si="1"/>
        <v>47714.899999999921</v>
      </c>
      <c r="F29" s="9">
        <f t="shared" si="4"/>
        <v>48012</v>
      </c>
      <c r="G29" s="9">
        <f t="shared" si="5"/>
        <v>48016</v>
      </c>
    </row>
    <row r="30" spans="1:7" x14ac:dyDescent="0.35">
      <c r="A30" s="5">
        <v>28</v>
      </c>
      <c r="B30" s="9">
        <f t="shared" si="2"/>
        <v>47601</v>
      </c>
      <c r="C30" s="9">
        <f t="shared" si="0"/>
        <v>47602</v>
      </c>
      <c r="D30" s="9">
        <f t="shared" si="3"/>
        <v>47714.899999999921</v>
      </c>
      <c r="E30" s="9">
        <f t="shared" si="1"/>
        <v>47715.599999999919</v>
      </c>
      <c r="F30" s="9">
        <f t="shared" si="4"/>
        <v>48016</v>
      </c>
      <c r="G30" s="9">
        <f t="shared" si="5"/>
        <v>48020</v>
      </c>
    </row>
    <row r="31" spans="1:7" x14ac:dyDescent="0.35">
      <c r="A31" s="5">
        <v>29</v>
      </c>
      <c r="B31" s="9">
        <f t="shared" si="2"/>
        <v>47602</v>
      </c>
      <c r="C31" s="9">
        <f t="shared" si="0"/>
        <v>47603</v>
      </c>
      <c r="D31" s="9">
        <f t="shared" si="3"/>
        <v>47715.599999999919</v>
      </c>
      <c r="E31" s="9">
        <f t="shared" si="1"/>
        <v>47716.299999999916</v>
      </c>
      <c r="F31" s="9">
        <f t="shared" si="4"/>
        <v>48020</v>
      </c>
      <c r="G31" s="9">
        <f t="shared" si="5"/>
        <v>48024</v>
      </c>
    </row>
    <row r="32" spans="1:7" x14ac:dyDescent="0.35">
      <c r="A32" s="5">
        <v>30</v>
      </c>
      <c r="B32" s="9">
        <f t="shared" si="2"/>
        <v>47603</v>
      </c>
      <c r="C32" s="9">
        <f t="shared" si="0"/>
        <v>47604</v>
      </c>
      <c r="D32" s="9">
        <f t="shared" si="3"/>
        <v>47716.299999999916</v>
      </c>
      <c r="E32" s="9">
        <f t="shared" si="1"/>
        <v>47716.999999999913</v>
      </c>
      <c r="F32" s="9">
        <f t="shared" si="4"/>
        <v>48024</v>
      </c>
      <c r="G32" s="9">
        <f t="shared" si="5"/>
        <v>48028</v>
      </c>
    </row>
    <row r="33" spans="1:7" x14ac:dyDescent="0.35">
      <c r="A33" s="5">
        <v>31</v>
      </c>
      <c r="B33" s="9">
        <f t="shared" si="2"/>
        <v>47604</v>
      </c>
      <c r="C33" s="9">
        <f t="shared" si="0"/>
        <v>47605</v>
      </c>
      <c r="D33" s="9">
        <f t="shared" si="3"/>
        <v>47716.999999999913</v>
      </c>
      <c r="E33" s="9">
        <f t="shared" si="1"/>
        <v>47717.69999999991</v>
      </c>
      <c r="F33" s="9">
        <f t="shared" si="4"/>
        <v>48028</v>
      </c>
      <c r="G33" s="9">
        <f t="shared" si="5"/>
        <v>48032</v>
      </c>
    </row>
    <row r="34" spans="1:7" x14ac:dyDescent="0.35">
      <c r="A34" s="5">
        <v>32</v>
      </c>
      <c r="B34" s="9">
        <f t="shared" si="2"/>
        <v>47605</v>
      </c>
      <c r="C34" s="9">
        <f t="shared" si="0"/>
        <v>47606</v>
      </c>
      <c r="D34" s="9">
        <f t="shared" si="3"/>
        <v>47717.69999999991</v>
      </c>
      <c r="E34" s="9">
        <f t="shared" si="1"/>
        <v>47718.399999999907</v>
      </c>
      <c r="F34" s="9">
        <f t="shared" si="4"/>
        <v>48032</v>
      </c>
      <c r="G34" s="9">
        <f t="shared" si="5"/>
        <v>48036</v>
      </c>
    </row>
    <row r="35" spans="1:7" x14ac:dyDescent="0.35">
      <c r="A35" s="5">
        <v>33</v>
      </c>
      <c r="B35" s="9">
        <f t="shared" si="2"/>
        <v>47606</v>
      </c>
      <c r="C35" s="9">
        <f t="shared" ref="C35:C52" si="6">B35+1</f>
        <v>47607</v>
      </c>
      <c r="D35" s="9">
        <f t="shared" si="3"/>
        <v>47718.399999999907</v>
      </c>
      <c r="E35" s="9">
        <f t="shared" ref="E35:E57" si="7">D35+0.7</f>
        <v>47719.099999999904</v>
      </c>
      <c r="F35" s="9">
        <f t="shared" si="4"/>
        <v>48036</v>
      </c>
      <c r="G35" s="9">
        <f t="shared" si="5"/>
        <v>48040</v>
      </c>
    </row>
    <row r="36" spans="1:7" x14ac:dyDescent="0.35">
      <c r="A36" s="5">
        <v>34</v>
      </c>
      <c r="B36" s="9">
        <f t="shared" ref="B36:B52" si="8">B35+1</f>
        <v>47607</v>
      </c>
      <c r="C36" s="9">
        <f t="shared" si="6"/>
        <v>47608</v>
      </c>
      <c r="D36" s="9">
        <f t="shared" ref="D36:D57" si="9">D35+0.7</f>
        <v>47719.099999999904</v>
      </c>
      <c r="E36" s="9">
        <f t="shared" si="7"/>
        <v>47719.799999999901</v>
      </c>
      <c r="F36" s="9">
        <f t="shared" ref="F36:F52" si="10">F35+4</f>
        <v>48040</v>
      </c>
      <c r="G36" s="9">
        <f t="shared" ref="G36:G52" si="11">G35+4</f>
        <v>48044</v>
      </c>
    </row>
    <row r="37" spans="1:7" x14ac:dyDescent="0.35">
      <c r="A37" s="5">
        <v>35</v>
      </c>
      <c r="B37" s="9">
        <f t="shared" si="8"/>
        <v>47608</v>
      </c>
      <c r="C37" s="9">
        <f t="shared" si="6"/>
        <v>47609</v>
      </c>
      <c r="D37" s="9">
        <f t="shared" si="9"/>
        <v>47719.799999999901</v>
      </c>
      <c r="E37" s="9">
        <f t="shared" si="7"/>
        <v>47720.499999999898</v>
      </c>
      <c r="F37" s="9">
        <f t="shared" si="10"/>
        <v>48044</v>
      </c>
      <c r="G37" s="9">
        <f t="shared" si="11"/>
        <v>48048</v>
      </c>
    </row>
    <row r="38" spans="1:7" x14ac:dyDescent="0.35">
      <c r="A38" s="5">
        <v>36</v>
      </c>
      <c r="B38" s="9">
        <f t="shared" si="8"/>
        <v>47609</v>
      </c>
      <c r="C38" s="9">
        <f t="shared" si="6"/>
        <v>47610</v>
      </c>
      <c r="D38" s="9">
        <f t="shared" si="9"/>
        <v>47720.499999999898</v>
      </c>
      <c r="E38" s="9">
        <f t="shared" si="7"/>
        <v>47721.199999999895</v>
      </c>
      <c r="F38" s="9">
        <f t="shared" si="10"/>
        <v>48048</v>
      </c>
      <c r="G38" s="9">
        <f t="shared" si="11"/>
        <v>48052</v>
      </c>
    </row>
    <row r="39" spans="1:7" x14ac:dyDescent="0.35">
      <c r="A39" s="5">
        <v>37</v>
      </c>
      <c r="B39" s="9">
        <f t="shared" si="8"/>
        <v>47610</v>
      </c>
      <c r="C39" s="9">
        <f t="shared" si="6"/>
        <v>47611</v>
      </c>
      <c r="D39" s="9">
        <f t="shared" si="9"/>
        <v>47721.199999999895</v>
      </c>
      <c r="E39" s="9">
        <f t="shared" si="7"/>
        <v>47721.899999999892</v>
      </c>
      <c r="F39" s="9">
        <f t="shared" si="10"/>
        <v>48052</v>
      </c>
      <c r="G39" s="9">
        <f t="shared" si="11"/>
        <v>48056</v>
      </c>
    </row>
    <row r="40" spans="1:7" x14ac:dyDescent="0.35">
      <c r="A40" s="5">
        <v>38</v>
      </c>
      <c r="B40" s="9">
        <f t="shared" si="8"/>
        <v>47611</v>
      </c>
      <c r="C40" s="9">
        <f t="shared" si="6"/>
        <v>47612</v>
      </c>
      <c r="D40" s="9">
        <f t="shared" si="9"/>
        <v>47721.899999999892</v>
      </c>
      <c r="E40" s="9">
        <f t="shared" si="7"/>
        <v>47722.599999999889</v>
      </c>
      <c r="F40" s="9">
        <f t="shared" si="10"/>
        <v>48056</v>
      </c>
      <c r="G40" s="9">
        <f t="shared" si="11"/>
        <v>48060</v>
      </c>
    </row>
    <row r="41" spans="1:7" x14ac:dyDescent="0.35">
      <c r="A41" s="5">
        <v>39</v>
      </c>
      <c r="B41" s="9">
        <f t="shared" si="8"/>
        <v>47612</v>
      </c>
      <c r="C41" s="9">
        <f t="shared" si="6"/>
        <v>47613</v>
      </c>
      <c r="D41" s="9">
        <f t="shared" si="9"/>
        <v>47722.599999999889</v>
      </c>
      <c r="E41" s="9">
        <f t="shared" si="7"/>
        <v>47723.299999999886</v>
      </c>
      <c r="F41" s="9">
        <f t="shared" si="10"/>
        <v>48060</v>
      </c>
      <c r="G41" s="9">
        <f t="shared" si="11"/>
        <v>48064</v>
      </c>
    </row>
    <row r="42" spans="1:7" x14ac:dyDescent="0.35">
      <c r="A42" s="5">
        <v>40</v>
      </c>
      <c r="B42" s="9">
        <f t="shared" si="8"/>
        <v>47613</v>
      </c>
      <c r="C42" s="9">
        <f t="shared" si="6"/>
        <v>47614</v>
      </c>
      <c r="D42" s="9">
        <f t="shared" si="9"/>
        <v>47723.299999999886</v>
      </c>
      <c r="E42" s="9">
        <f t="shared" si="7"/>
        <v>47723.999999999884</v>
      </c>
      <c r="F42" s="9">
        <f t="shared" si="10"/>
        <v>48064</v>
      </c>
      <c r="G42" s="9">
        <f t="shared" si="11"/>
        <v>48068</v>
      </c>
    </row>
    <row r="43" spans="1:7" x14ac:dyDescent="0.35">
      <c r="A43" s="5">
        <v>41</v>
      </c>
      <c r="B43" s="9">
        <f t="shared" si="8"/>
        <v>47614</v>
      </c>
      <c r="C43" s="9">
        <f t="shared" si="6"/>
        <v>47615</v>
      </c>
      <c r="D43" s="9">
        <f t="shared" si="9"/>
        <v>47723.999999999884</v>
      </c>
      <c r="E43" s="9">
        <f t="shared" si="7"/>
        <v>47724.699999999881</v>
      </c>
      <c r="F43" s="9">
        <f t="shared" si="10"/>
        <v>48068</v>
      </c>
      <c r="G43" s="9">
        <f t="shared" si="11"/>
        <v>48072</v>
      </c>
    </row>
    <row r="44" spans="1:7" x14ac:dyDescent="0.35">
      <c r="A44" s="5">
        <v>42</v>
      </c>
      <c r="B44" s="9">
        <f t="shared" si="8"/>
        <v>47615</v>
      </c>
      <c r="C44" s="9">
        <f t="shared" si="6"/>
        <v>47616</v>
      </c>
      <c r="D44" s="9">
        <f t="shared" si="9"/>
        <v>47724.699999999881</v>
      </c>
      <c r="E44" s="9">
        <f t="shared" si="7"/>
        <v>47725.399999999878</v>
      </c>
      <c r="F44" s="9">
        <f t="shared" si="10"/>
        <v>48072</v>
      </c>
      <c r="G44" s="9">
        <f t="shared" si="11"/>
        <v>48076</v>
      </c>
    </row>
    <row r="45" spans="1:7" x14ac:dyDescent="0.35">
      <c r="A45" s="5">
        <v>43</v>
      </c>
      <c r="B45" s="9">
        <f t="shared" si="8"/>
        <v>47616</v>
      </c>
      <c r="C45" s="9">
        <f t="shared" si="6"/>
        <v>47617</v>
      </c>
      <c r="D45" s="9">
        <f t="shared" si="9"/>
        <v>47725.399999999878</v>
      </c>
      <c r="E45" s="9">
        <f t="shared" si="7"/>
        <v>47726.099999999875</v>
      </c>
      <c r="F45" s="9">
        <f t="shared" si="10"/>
        <v>48076</v>
      </c>
      <c r="G45" s="9">
        <f t="shared" si="11"/>
        <v>48080</v>
      </c>
    </row>
    <row r="46" spans="1:7" x14ac:dyDescent="0.35">
      <c r="A46" s="5">
        <v>44</v>
      </c>
      <c r="B46" s="9">
        <f t="shared" si="8"/>
        <v>47617</v>
      </c>
      <c r="C46" s="9">
        <f t="shared" si="6"/>
        <v>47618</v>
      </c>
      <c r="D46" s="9">
        <f t="shared" si="9"/>
        <v>47726.099999999875</v>
      </c>
      <c r="E46" s="9">
        <f t="shared" si="7"/>
        <v>47726.799999999872</v>
      </c>
      <c r="F46" s="9">
        <f t="shared" si="10"/>
        <v>48080</v>
      </c>
      <c r="G46" s="9">
        <f t="shared" si="11"/>
        <v>48084</v>
      </c>
    </row>
    <row r="47" spans="1:7" x14ac:dyDescent="0.35">
      <c r="A47" s="5">
        <v>45</v>
      </c>
      <c r="B47" s="9">
        <f t="shared" si="8"/>
        <v>47618</v>
      </c>
      <c r="C47" s="9">
        <f t="shared" si="6"/>
        <v>47619</v>
      </c>
      <c r="D47" s="9">
        <f t="shared" si="9"/>
        <v>47726.799999999872</v>
      </c>
      <c r="E47" s="9">
        <f t="shared" si="7"/>
        <v>47727.499999999869</v>
      </c>
      <c r="F47" s="9">
        <f t="shared" si="10"/>
        <v>48084</v>
      </c>
      <c r="G47" s="9">
        <f t="shared" si="11"/>
        <v>48088</v>
      </c>
    </row>
    <row r="48" spans="1:7" x14ac:dyDescent="0.35">
      <c r="A48" s="5">
        <v>46</v>
      </c>
      <c r="B48" s="9">
        <f t="shared" si="8"/>
        <v>47619</v>
      </c>
      <c r="C48" s="9">
        <f t="shared" si="6"/>
        <v>47620</v>
      </c>
      <c r="D48" s="9">
        <f t="shared" si="9"/>
        <v>47727.499999999869</v>
      </c>
      <c r="E48" s="9">
        <f t="shared" si="7"/>
        <v>47728.199999999866</v>
      </c>
      <c r="F48" s="9">
        <f t="shared" si="10"/>
        <v>48088</v>
      </c>
      <c r="G48" s="9">
        <f t="shared" si="11"/>
        <v>48092</v>
      </c>
    </row>
    <row r="49" spans="1:7" x14ac:dyDescent="0.35">
      <c r="A49" s="5">
        <v>47</v>
      </c>
      <c r="B49" s="9">
        <f t="shared" si="8"/>
        <v>47620</v>
      </c>
      <c r="C49" s="9">
        <f t="shared" si="6"/>
        <v>47621</v>
      </c>
      <c r="D49" s="9">
        <f t="shared" si="9"/>
        <v>47728.199999999866</v>
      </c>
      <c r="E49" s="9">
        <f t="shared" si="7"/>
        <v>47728.899999999863</v>
      </c>
      <c r="F49" s="9">
        <f t="shared" si="10"/>
        <v>48092</v>
      </c>
      <c r="G49" s="9">
        <f t="shared" si="11"/>
        <v>48096</v>
      </c>
    </row>
    <row r="50" spans="1:7" x14ac:dyDescent="0.35">
      <c r="A50" s="5">
        <v>48</v>
      </c>
      <c r="B50" s="9">
        <f t="shared" si="8"/>
        <v>47621</v>
      </c>
      <c r="C50" s="9">
        <f t="shared" si="6"/>
        <v>47622</v>
      </c>
      <c r="D50" s="9">
        <f t="shared" si="9"/>
        <v>47728.899999999863</v>
      </c>
      <c r="E50" s="9">
        <f t="shared" si="7"/>
        <v>47729.59999999986</v>
      </c>
      <c r="F50" s="9">
        <f t="shared" si="10"/>
        <v>48096</v>
      </c>
      <c r="G50" s="9">
        <f t="shared" si="11"/>
        <v>48100</v>
      </c>
    </row>
    <row r="51" spans="1:7" x14ac:dyDescent="0.35">
      <c r="A51" s="5">
        <v>49</v>
      </c>
      <c r="B51" s="9">
        <f t="shared" si="8"/>
        <v>47622</v>
      </c>
      <c r="C51" s="9">
        <f t="shared" si="6"/>
        <v>47623</v>
      </c>
      <c r="D51" s="9">
        <f t="shared" si="9"/>
        <v>47729.59999999986</v>
      </c>
      <c r="E51" s="9">
        <f t="shared" si="7"/>
        <v>47730.299999999857</v>
      </c>
      <c r="F51" s="9">
        <f t="shared" si="10"/>
        <v>48100</v>
      </c>
      <c r="G51" s="9">
        <f t="shared" si="11"/>
        <v>48104</v>
      </c>
    </row>
    <row r="52" spans="1:7" x14ac:dyDescent="0.35">
      <c r="A52" s="5">
        <v>50</v>
      </c>
      <c r="B52" s="9">
        <f t="shared" si="8"/>
        <v>47623</v>
      </c>
      <c r="C52" s="9">
        <f t="shared" si="6"/>
        <v>47624</v>
      </c>
      <c r="D52" s="9">
        <f t="shared" si="9"/>
        <v>47730.299999999857</v>
      </c>
      <c r="E52" s="9">
        <f t="shared" si="7"/>
        <v>47730.999999999854</v>
      </c>
      <c r="F52" s="9">
        <f t="shared" si="10"/>
        <v>48104</v>
      </c>
      <c r="G52" s="9">
        <f t="shared" si="11"/>
        <v>48108</v>
      </c>
    </row>
    <row r="53" spans="1:7" x14ac:dyDescent="0.35">
      <c r="A53" s="5">
        <v>51</v>
      </c>
      <c r="B53" s="23"/>
      <c r="C53" s="23"/>
      <c r="D53" s="9">
        <f t="shared" si="9"/>
        <v>47730.999999999854</v>
      </c>
      <c r="E53" s="9">
        <f t="shared" si="7"/>
        <v>47731.699999999852</v>
      </c>
      <c r="F53" s="23"/>
      <c r="G53" s="23"/>
    </row>
    <row r="54" spans="1:7" x14ac:dyDescent="0.35">
      <c r="A54" s="5">
        <v>52</v>
      </c>
      <c r="B54" s="23"/>
      <c r="C54" s="23"/>
      <c r="D54" s="9">
        <f t="shared" si="9"/>
        <v>47731.699999999852</v>
      </c>
      <c r="E54" s="9">
        <f t="shared" si="7"/>
        <v>47732.399999999849</v>
      </c>
      <c r="F54" s="23"/>
      <c r="G54" s="23"/>
    </row>
    <row r="55" spans="1:7" x14ac:dyDescent="0.35">
      <c r="A55" s="5">
        <v>53</v>
      </c>
      <c r="B55" s="23"/>
      <c r="C55" s="23"/>
      <c r="D55" s="9">
        <f t="shared" si="9"/>
        <v>47732.399999999849</v>
      </c>
      <c r="E55" s="9">
        <f t="shared" si="7"/>
        <v>47733.099999999846</v>
      </c>
      <c r="F55" s="23"/>
      <c r="G55" s="23"/>
    </row>
    <row r="56" spans="1:7" x14ac:dyDescent="0.35">
      <c r="A56" s="5">
        <v>54</v>
      </c>
      <c r="B56" s="23"/>
      <c r="C56" s="23"/>
      <c r="D56" s="9">
        <f t="shared" si="9"/>
        <v>47733.099999999846</v>
      </c>
      <c r="E56" s="9">
        <f t="shared" si="7"/>
        <v>47733.799999999843</v>
      </c>
      <c r="F56" s="23"/>
      <c r="G56" s="23"/>
    </row>
    <row r="57" spans="1:7" x14ac:dyDescent="0.35">
      <c r="A57" s="5">
        <v>55</v>
      </c>
      <c r="B57" s="23"/>
      <c r="C57" s="23"/>
      <c r="D57" s="9">
        <f t="shared" si="9"/>
        <v>47733.799999999843</v>
      </c>
      <c r="E57" s="9">
        <f t="shared" si="7"/>
        <v>47734.49999999984</v>
      </c>
      <c r="F57" s="23"/>
      <c r="G57" s="23"/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sed xmlns="7b1e1d97-de89-451e-b61e-3a612707828f">false</Revised>
    <_Flow_SignoffStatus xmlns="7b1e1d97-de89-451e-b61e-3a612707828f" xsi:nil="true"/>
    <IconOverlay xmlns="http://schemas.microsoft.com/sharepoint/v4" xsi:nil="true"/>
    <DateandTime xmlns="7b1e1d97-de89-451e-b61e-3a612707828f" xsi:nil="true"/>
    <TranslatedLang xmlns="7b1e1d97-de89-451e-b61e-3a612707828f" xsi:nil="true"/>
    <lcf76f155ced4ddcb4097134ff3c332f xmlns="7b1e1d97-de89-451e-b61e-3a612707828f">
      <Terms xmlns="http://schemas.microsoft.com/office/infopath/2007/PartnerControls"/>
    </lcf76f155ced4ddcb4097134ff3c332f>
    <TaxCatchAll xmlns="fb957374-73fb-46c8-b1d5-5557a51ca38a" xsi:nil="true"/>
    <OEM xmlns="7b1e1d97-de89-451e-b61e-3a61270782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4B1D761BDB6B498A1DC5A0D78900EE" ma:contentTypeVersion="26" ma:contentTypeDescription="Create a new document." ma:contentTypeScope="" ma:versionID="78345c13f88d78bd560ff02a76daed41">
  <xsd:schema xmlns:xsd="http://www.w3.org/2001/XMLSchema" xmlns:xs="http://www.w3.org/2001/XMLSchema" xmlns:p="http://schemas.microsoft.com/office/2006/metadata/properties" xmlns:ns2="7b1e1d97-de89-451e-b61e-3a612707828f" xmlns:ns3="5b6d62e9-fedc-43d0-83d3-3983de244cac" xmlns:ns4="fb957374-73fb-46c8-b1d5-5557a51ca38a" xmlns:ns5="http://schemas.microsoft.com/sharepoint/v4" targetNamespace="http://schemas.microsoft.com/office/2006/metadata/properties" ma:root="true" ma:fieldsID="c745cdac93650d4e9673cc66f9377fdc" ns2:_="" ns3:_="" ns4:_="" ns5:_="">
    <xsd:import namespace="7b1e1d97-de89-451e-b61e-3a612707828f"/>
    <xsd:import namespace="5b6d62e9-fedc-43d0-83d3-3983de244cac"/>
    <xsd:import namespace="fb957374-73fb-46c8-b1d5-5557a51ca38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Revised" minOccurs="0"/>
                <xsd:element ref="ns5:IconOverlay" minOccurs="0"/>
                <xsd:element ref="ns2:MediaServiceBillingMetadata" minOccurs="0"/>
                <xsd:element ref="ns2:TranslatedLang" minOccurs="0"/>
                <xsd:element ref="ns2:_Flow_SignoffStatus" minOccurs="0"/>
                <xsd:element ref="ns2:DateandTime" minOccurs="0"/>
                <xsd:element ref="ns2:O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1d97-de89-451e-b61e-3a61270782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254e2c3-28f0-4d52-875a-3e05d851ee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sed" ma:index="26" nillable="true" ma:displayName="Revised" ma:default="0" ma:description="Revised to include Project / Package specific Cover Sheets?" ma:format="Dropdown" ma:internalName="Revised">
      <xsd:simpleType>
        <xsd:restriction base="dms:Boolean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TranslatedLang" ma:index="29" nillable="true" ma:displayName="Translated Language" ma:internalName="TranslatedLang">
      <xsd:simpleType>
        <xsd:restriction base="dms:Text"/>
      </xsd:simpleType>
    </xsd:element>
    <xsd:element name="_Flow_SignoffStatus" ma:index="30" nillable="true" ma:displayName="Sign-off status" ma:internalName="_x0024_Resources_x003a_core_x002c_Signoff_Status">
      <xsd:simpleType>
        <xsd:restriction base="dms:Text"/>
      </xsd:simpleType>
    </xsd:element>
    <xsd:element name="DateandTime" ma:index="31" nillable="true" ma:displayName="Date and Time" ma:format="DateOnly" ma:internalName="DateandTime">
      <xsd:simpleType>
        <xsd:restriction base="dms:DateTime"/>
      </xsd:simpleType>
    </xsd:element>
    <xsd:element name="OEM" ma:index="32" nillable="true" ma:displayName="OEM" ma:format="Dropdown" ma:internalName="OEM">
      <xsd:simpleType>
        <xsd:restriction base="dms:Choice">
          <xsd:enumeration value="Vestas"/>
          <xsd:enumeration value="SG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d62e9-fedc-43d0-83d3-3983de244ca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57374-73fb-46c8-b1d5-5557a51ca38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e8b2818-f146-461f-802b-2e1f1f2a9022}" ma:internalName="TaxCatchAll" ma:showField="CatchAllData" ma:web="5b6d62e9-fedc-43d0-83d3-3983de244c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E4A505-FD97-4F62-A54E-794D67C3C89E}">
  <ds:schemaRefs>
    <ds:schemaRef ds:uri="7b1e1d97-de89-451e-b61e-3a612707828f"/>
    <ds:schemaRef ds:uri="5b6d62e9-fedc-43d0-83d3-3983de244cac"/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b957374-73fb-46c8-b1d5-5557a51ca38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87E93EE-9EE0-4F81-BCAE-80D6FC49D1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68500C-071F-4C15-A3AC-7E2EA9766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1e1d97-de89-451e-b61e-3a612707828f"/>
    <ds:schemaRef ds:uri="5b6d62e9-fedc-43d0-83d3-3983de244cac"/>
    <ds:schemaRef ds:uri="fb957374-73fb-46c8-b1d5-5557a51ca38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81d56f-c63d-4d74-8406-d64e74f44395}" enabled="0" method="" siteId="{f481d56f-c63d-4d74-8406-d64e74f44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FOU data</vt:lpstr>
      <vt:lpstr>IAC data</vt:lpstr>
      <vt:lpstr>WTG data</vt:lpstr>
      <vt:lpstr>Programme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Kallias Ntroumpis, Dimitrios</dc:creator>
  <cp:lastModifiedBy>Kallias Ntroumpis, Dimitrios</cp:lastModifiedBy>
  <dcterms:created xsi:type="dcterms:W3CDTF">2026-10-19T14:17:36Z</dcterms:created>
  <dcterms:modified xsi:type="dcterms:W3CDTF">2026-10-25T14:25:22Z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0x0101004B4B1D761BDB6B498A1DC5A0D78900EE</vt:lpwstr>
  </property>
</Properties>
</file>