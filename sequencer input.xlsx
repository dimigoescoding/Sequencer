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we.sharepoint.com/sites/AyMwholeteam/Shared Documents/09 Offshore Site Logistics/05 Design &amp; Engineering/Installation sequence/"/>
    </mc:Choice>
  </mc:AlternateContent>
  <xr:revisionPtr revIDLastSave="43" documentId="8_{1F5C8784-E71D-46EB-9946-EA9ADD727738}" xr6:coauthVersionLast="47" xr6:coauthVersionMax="47" xr10:uidLastSave="{B089B576-3EBC-476C-ABDE-3A127B09238C}"/>
  <bookViews>
    <workbookView xWindow="-30828" yWindow="-2832" windowWidth="30936" windowHeight="16776" xr2:uid="{45D2DF17-6F7C-45FD-9E14-08090A3A3102}"/>
  </bookViews>
  <sheets>
    <sheet name="Information" sheetId="1" r:id="rId1"/>
    <sheet name="Constraints " sheetId="7" r:id="rId2"/>
    <sheet name="Settings" sheetId="9" r:id="rId3"/>
  </sheets>
  <definedNames>
    <definedName name="_xlnm._FilterDatabase" localSheetId="0" hidden="1">Information!$A$1:$I$1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" i="1" l="1"/>
  <c r="O3" i="1"/>
  <c r="L2" i="1"/>
  <c r="Q3" i="1"/>
  <c r="Q4" i="1" s="1"/>
  <c r="Q5" i="1" s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N2" i="1"/>
  <c r="K2" i="1" s="1"/>
  <c r="M3" i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N10" i="1" l="1"/>
  <c r="N11" i="1"/>
  <c r="N9" i="1"/>
  <c r="N8" i="1"/>
  <c r="N6" i="1"/>
  <c r="N7" i="1"/>
  <c r="N22" i="1"/>
  <c r="R2" i="1"/>
  <c r="R3" i="1" s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N23" i="1"/>
  <c r="N19" i="1"/>
  <c r="N24" i="1"/>
  <c r="N21" i="1"/>
  <c r="N20" i="1"/>
  <c r="N18" i="1"/>
  <c r="N12" i="1"/>
  <c r="N17" i="1"/>
  <c r="N5" i="1"/>
  <c r="N16" i="1"/>
  <c r="N4" i="1"/>
  <c r="N15" i="1"/>
  <c r="N3" i="1"/>
  <c r="K3" i="1" s="1"/>
  <c r="O4" i="1"/>
  <c r="N26" i="1"/>
  <c r="N14" i="1"/>
  <c r="N25" i="1"/>
  <c r="N13" i="1"/>
  <c r="P3" i="1"/>
  <c r="L3" i="1" s="1"/>
  <c r="P4" i="1" l="1"/>
  <c r="L4" i="1" s="1"/>
  <c r="O5" i="1"/>
  <c r="K4" i="1"/>
  <c r="O6" i="1" l="1"/>
  <c r="K6" i="1" s="1"/>
  <c r="P5" i="1"/>
  <c r="L5" i="1" s="1"/>
  <c r="K5" i="1"/>
  <c r="P6" i="1" l="1"/>
  <c r="L6" i="1" s="1"/>
  <c r="O7" i="1"/>
  <c r="K7" i="1" s="1"/>
  <c r="P7" i="1" l="1"/>
  <c r="L7" i="1" s="1"/>
  <c r="O8" i="1"/>
  <c r="K8" i="1" s="1"/>
  <c r="P8" i="1" l="1"/>
  <c r="L8" i="1" s="1"/>
  <c r="O9" i="1"/>
  <c r="P9" i="1" l="1"/>
  <c r="L9" i="1" s="1"/>
  <c r="O10" i="1"/>
  <c r="K10" i="1" s="1"/>
  <c r="K9" i="1"/>
  <c r="P10" i="1" l="1"/>
  <c r="L10" i="1" s="1"/>
  <c r="O11" i="1"/>
  <c r="K11" i="1" s="1"/>
  <c r="P11" i="1" l="1"/>
  <c r="L11" i="1" s="1"/>
  <c r="O12" i="1"/>
  <c r="K12" i="1" s="1"/>
  <c r="P12" i="1" l="1"/>
  <c r="L12" i="1" s="1"/>
  <c r="O13" i="1"/>
  <c r="K13" i="1" s="1"/>
  <c r="P13" i="1" l="1"/>
  <c r="L13" i="1" s="1"/>
  <c r="O14" i="1"/>
  <c r="P14" i="1" l="1"/>
  <c r="L14" i="1" s="1"/>
  <c r="O15" i="1"/>
  <c r="K14" i="1"/>
  <c r="K15" i="1"/>
  <c r="P15" i="1" l="1"/>
  <c r="L15" i="1" s="1"/>
  <c r="O16" i="1"/>
  <c r="K16" i="1" s="1"/>
  <c r="P16" i="1" l="1"/>
  <c r="L16" i="1" s="1"/>
  <c r="O17" i="1"/>
  <c r="K17" i="1" s="1"/>
  <c r="P17" i="1" l="1"/>
  <c r="L17" i="1" s="1"/>
  <c r="O18" i="1"/>
  <c r="K18" i="1" s="1"/>
  <c r="P18" i="1" l="1"/>
  <c r="L18" i="1" s="1"/>
  <c r="O19" i="1"/>
  <c r="P19" i="1" l="1"/>
  <c r="L19" i="1" s="1"/>
  <c r="O20" i="1"/>
  <c r="K20" i="1" s="1"/>
  <c r="K19" i="1"/>
  <c r="P20" i="1" l="1"/>
  <c r="L20" i="1" s="1"/>
  <c r="O21" i="1"/>
  <c r="K21" i="1" s="1"/>
  <c r="P21" i="1" l="1"/>
  <c r="L21" i="1" s="1"/>
  <c r="O22" i="1"/>
  <c r="K22" i="1" s="1"/>
  <c r="P22" i="1" l="1"/>
  <c r="L22" i="1" s="1"/>
  <c r="O23" i="1"/>
  <c r="K23" i="1" s="1"/>
  <c r="P23" i="1" l="1"/>
  <c r="L23" i="1" s="1"/>
  <c r="O24" i="1"/>
  <c r="K24" i="1" s="1"/>
  <c r="P24" i="1" l="1"/>
  <c r="L24" i="1" s="1"/>
  <c r="O25" i="1"/>
  <c r="K25" i="1" s="1"/>
  <c r="P25" i="1" l="1"/>
  <c r="L25" i="1" s="1"/>
  <c r="O26" i="1"/>
  <c r="P26" i="1" l="1"/>
  <c r="L26" i="1" s="1"/>
  <c r="O27" i="1"/>
  <c r="P27" i="1" s="1"/>
  <c r="K26" i="1"/>
  <c r="O28" i="1" l="1"/>
  <c r="P28" i="1" s="1"/>
  <c r="O29" i="1" l="1"/>
  <c r="P29" i="1" s="1"/>
  <c r="O30" i="1" l="1"/>
  <c r="P30" i="1" s="1"/>
  <c r="O31" i="1"/>
  <c r="P31" i="1" s="1"/>
  <c r="O32" i="1" l="1"/>
  <c r="P32" i="1" s="1"/>
  <c r="O33" i="1" l="1"/>
  <c r="P33" i="1" s="1"/>
  <c r="O34" i="1" l="1"/>
  <c r="P34" i="1" s="1"/>
  <c r="O35" i="1" l="1"/>
  <c r="P35" i="1" s="1"/>
  <c r="O36" i="1" l="1"/>
  <c r="P36" i="1" s="1"/>
  <c r="O37" i="1" l="1"/>
  <c r="P37" i="1" s="1"/>
  <c r="O38" i="1" l="1"/>
  <c r="P38" i="1" s="1"/>
  <c r="O39" i="1" l="1"/>
  <c r="P39" i="1" s="1"/>
  <c r="O40" i="1" l="1"/>
  <c r="P40" i="1" s="1"/>
  <c r="O41" i="1" l="1"/>
  <c r="P41" i="1" l="1"/>
  <c r="O42" i="1"/>
  <c r="P42" i="1" l="1"/>
  <c r="O43" i="1"/>
  <c r="P43" i="1" l="1"/>
  <c r="O44" i="1"/>
  <c r="P44" i="1" l="1"/>
  <c r="O45" i="1"/>
  <c r="P45" i="1" l="1"/>
  <c r="O46" i="1"/>
  <c r="P46" i="1" l="1"/>
  <c r="O47" i="1"/>
  <c r="P47" i="1" l="1"/>
  <c r="O48" i="1"/>
  <c r="P48" i="1" l="1"/>
  <c r="O49" i="1"/>
  <c r="P49" i="1" l="1"/>
  <c r="O50" i="1"/>
  <c r="P50" i="1" l="1"/>
  <c r="O51" i="1"/>
  <c r="P51" i="1" l="1"/>
  <c r="M27" i="1"/>
  <c r="M28" i="1"/>
  <c r="M29" i="1" s="1"/>
  <c r="Q27" i="1"/>
  <c r="Q28" i="1" s="1"/>
  <c r="L27" i="1"/>
  <c r="N27" i="1"/>
  <c r="K27" i="1" s="1"/>
  <c r="R27" i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N28" i="1" l="1"/>
  <c r="K28" i="1" s="1"/>
  <c r="L28" i="1"/>
  <c r="Q29" i="1"/>
  <c r="M30" i="1"/>
  <c r="N29" i="1"/>
  <c r="K29" i="1" s="1"/>
  <c r="N30" i="1" l="1"/>
  <c r="K30" i="1" s="1"/>
  <c r="M31" i="1"/>
  <c r="L29" i="1"/>
  <c r="Q30" i="1"/>
  <c r="Q31" i="1" l="1"/>
  <c r="L30" i="1"/>
  <c r="M32" i="1"/>
  <c r="N31" i="1"/>
  <c r="K31" i="1" s="1"/>
  <c r="M33" i="1" l="1"/>
  <c r="N32" i="1"/>
  <c r="K32" i="1" s="1"/>
  <c r="Q32" i="1"/>
  <c r="L31" i="1"/>
  <c r="Q33" i="1" l="1"/>
  <c r="L32" i="1"/>
  <c r="N33" i="1"/>
  <c r="K33" i="1" s="1"/>
  <c r="M34" i="1"/>
  <c r="N34" i="1" l="1"/>
  <c r="K34" i="1" s="1"/>
  <c r="M35" i="1"/>
  <c r="L33" i="1"/>
  <c r="Q34" i="1"/>
  <c r="Q35" i="1" l="1"/>
  <c r="L34" i="1"/>
  <c r="N35" i="1"/>
  <c r="K35" i="1" s="1"/>
  <c r="M36" i="1"/>
  <c r="N36" i="1" l="1"/>
  <c r="K36" i="1" s="1"/>
  <c r="M37" i="1"/>
  <c r="Q36" i="1"/>
  <c r="L35" i="1"/>
  <c r="L36" i="1" l="1"/>
  <c r="Q37" i="1"/>
  <c r="M38" i="1"/>
  <c r="N37" i="1"/>
  <c r="K37" i="1" s="1"/>
  <c r="N38" i="1" l="1"/>
  <c r="K38" i="1" s="1"/>
  <c r="M39" i="1"/>
  <c r="Q38" i="1"/>
  <c r="L37" i="1"/>
  <c r="Q39" i="1" l="1"/>
  <c r="L38" i="1"/>
  <c r="M40" i="1"/>
  <c r="N39" i="1"/>
  <c r="K39" i="1" s="1"/>
  <c r="M41" i="1" l="1"/>
  <c r="N40" i="1"/>
  <c r="K40" i="1" s="1"/>
  <c r="L39" i="1"/>
  <c r="Q40" i="1"/>
  <c r="Q41" i="1" l="1"/>
  <c r="L40" i="1"/>
  <c r="M42" i="1"/>
  <c r="N41" i="1"/>
  <c r="K41" i="1" s="1"/>
  <c r="M43" i="1" l="1"/>
  <c r="N42" i="1"/>
  <c r="K42" i="1" s="1"/>
  <c r="L41" i="1"/>
  <c r="Q42" i="1"/>
  <c r="L42" i="1" l="1"/>
  <c r="Q43" i="1"/>
  <c r="N43" i="1"/>
  <c r="K43" i="1" s="1"/>
  <c r="M44" i="1"/>
  <c r="N44" i="1" l="1"/>
  <c r="K44" i="1" s="1"/>
  <c r="M45" i="1"/>
  <c r="L43" i="1"/>
  <c r="Q44" i="1"/>
  <c r="L44" i="1" l="1"/>
  <c r="Q45" i="1"/>
  <c r="N45" i="1"/>
  <c r="K45" i="1" s="1"/>
  <c r="M46" i="1"/>
  <c r="N46" i="1" l="1"/>
  <c r="K46" i="1" s="1"/>
  <c r="M47" i="1"/>
  <c r="L45" i="1"/>
  <c r="Q46" i="1"/>
  <c r="Q47" i="1" l="1"/>
  <c r="L46" i="1"/>
  <c r="N47" i="1"/>
  <c r="K47" i="1" s="1"/>
  <c r="M48" i="1"/>
  <c r="N48" i="1" l="1"/>
  <c r="K48" i="1" s="1"/>
  <c r="M49" i="1"/>
  <c r="Q48" i="1"/>
  <c r="L47" i="1"/>
  <c r="Q49" i="1" l="1"/>
  <c r="L48" i="1"/>
  <c r="M50" i="1"/>
  <c r="N49" i="1"/>
  <c r="K49" i="1" s="1"/>
  <c r="M51" i="1" l="1"/>
  <c r="N51" i="1" s="1"/>
  <c r="K51" i="1" s="1"/>
  <c r="N50" i="1"/>
  <c r="K50" i="1" s="1"/>
  <c r="Q50" i="1"/>
  <c r="L49" i="1"/>
  <c r="Q51" i="1" l="1"/>
  <c r="L51" i="1" s="1"/>
  <c r="L5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Kallias Ntroumpis, Dimitrios</author>
  </authors>
  <commentList>
    <comment ref="A1" authorId="0" shapeId="0" xr:uid="{D62E5695-AF39-467A-BDBF-7253D39DF486}">
      <text>
        <r>
          <rPr>
            <b/>
            <sz val="9"/>
            <color indexed="81"/>
            <rFont val="Tahoma"/>
            <charset val="1"/>
          </rPr>
          <t>Kallias Ntroumpis, Dimitrios:</t>
        </r>
        <r>
          <rPr>
            <sz val="9"/>
            <color indexed="81"/>
            <rFont val="Tahoma"/>
            <charset val="1"/>
          </rPr>
          <t xml:space="preserve">
Here the package that the constaint is relevant is specified. </t>
        </r>
      </text>
    </comment>
    <comment ref="D1" authorId="0" shapeId="0" xr:uid="{0DB3488B-2B09-4E1A-A320-6C618A7A7615}">
      <text>
        <r>
          <rPr>
            <b/>
            <sz val="9"/>
            <color indexed="81"/>
            <rFont val="Tahoma"/>
            <charset val="1"/>
          </rPr>
          <t>Kallias Ntroumpis, Dimitrios:</t>
        </r>
        <r>
          <rPr>
            <sz val="9"/>
            <color indexed="81"/>
            <rFont val="Tahoma"/>
            <charset val="1"/>
          </rPr>
          <t xml:space="preserve">
Hard or Soft</t>
        </r>
      </text>
    </comment>
    <comment ref="E1" authorId="0" shapeId="0" xr:uid="{FCCC1CC5-2587-424E-9BC9-DCD83E87ED6B}">
      <text>
        <r>
          <rPr>
            <b/>
            <sz val="9"/>
            <color indexed="81"/>
            <rFont val="Tahoma"/>
            <charset val="1"/>
          </rPr>
          <t>Kallias Ntroumpis, Dimitrios:</t>
        </r>
        <r>
          <rPr>
            <sz val="9"/>
            <color indexed="81"/>
            <rFont val="Tahoma"/>
            <charset val="1"/>
          </rPr>
          <t xml:space="preserve">
only applicable for soft requirements</t>
        </r>
      </text>
    </comment>
    <comment ref="F1" authorId="0" shapeId="0" xr:uid="{B84F0131-5BF1-4652-894F-16C94B0796DE}">
      <text>
        <r>
          <rPr>
            <b/>
            <sz val="9"/>
            <color indexed="81"/>
            <rFont val="Tahoma"/>
            <charset val="1"/>
          </rPr>
          <t>Kallias Ntroumpis, Dimitrios:</t>
        </r>
        <r>
          <rPr>
            <sz val="9"/>
            <color indexed="81"/>
            <rFont val="Tahoma"/>
            <charset val="1"/>
          </rPr>
          <t xml:space="preserve">
The status defines which constaints are Active or Not active.  </t>
        </r>
      </text>
    </comment>
  </commentList>
</comments>
</file>

<file path=xl/sharedStrings.xml><?xml version="1.0" encoding="utf-8"?>
<sst xmlns="http://schemas.openxmlformats.org/spreadsheetml/2006/main" count="350" uniqueCount="146">
  <si>
    <t>Structure</t>
  </si>
  <si>
    <t>Easting</t>
  </si>
  <si>
    <t>Northing</t>
  </si>
  <si>
    <t>WTG</t>
  </si>
  <si>
    <t>A04</t>
  </si>
  <si>
    <t>A03</t>
  </si>
  <si>
    <t>E01</t>
  </si>
  <si>
    <t>C06</t>
  </si>
  <si>
    <t>A02</t>
  </si>
  <si>
    <t>B07</t>
  </si>
  <si>
    <t>A05</t>
  </si>
  <si>
    <t>B02</t>
  </si>
  <si>
    <t>B03</t>
  </si>
  <si>
    <t>C07</t>
  </si>
  <si>
    <t>A01</t>
  </si>
  <si>
    <t>B04</t>
  </si>
  <si>
    <t>B05</t>
  </si>
  <si>
    <t>A06</t>
  </si>
  <si>
    <t>B01</t>
  </si>
  <si>
    <t>B08</t>
  </si>
  <si>
    <t>A07</t>
  </si>
  <si>
    <t>B06</t>
  </si>
  <si>
    <t>C01</t>
  </si>
  <si>
    <t>C08</t>
  </si>
  <si>
    <t>A10</t>
  </si>
  <si>
    <t>B09</t>
  </si>
  <si>
    <t>C04</t>
  </si>
  <si>
    <t>C02</t>
  </si>
  <si>
    <t>A11</t>
  </si>
  <si>
    <t>A09</t>
  </si>
  <si>
    <t>E04</t>
  </si>
  <si>
    <t>D03</t>
  </si>
  <si>
    <t>B10</t>
  </si>
  <si>
    <t>D08</t>
  </si>
  <si>
    <t>C03</t>
  </si>
  <si>
    <t>A08</t>
  </si>
  <si>
    <t>E03</t>
  </si>
  <si>
    <t>D02</t>
  </si>
  <si>
    <t>D01</t>
  </si>
  <si>
    <t>D04</t>
  </si>
  <si>
    <t>F03</t>
  </si>
  <si>
    <t>D07</t>
  </si>
  <si>
    <t>D06</t>
  </si>
  <si>
    <t>F05</t>
  </si>
  <si>
    <t>E02</t>
  </si>
  <si>
    <t>E06</t>
  </si>
  <si>
    <t>F04</t>
  </si>
  <si>
    <t>G05</t>
  </si>
  <si>
    <t>G06</t>
  </si>
  <si>
    <t>G07</t>
  </si>
  <si>
    <t>F06</t>
  </si>
  <si>
    <t>F07</t>
  </si>
  <si>
    <t>F08</t>
  </si>
  <si>
    <t>D05</t>
  </si>
  <si>
    <t xml:space="preserve">Shallow location </t>
  </si>
  <si>
    <t xml:space="preserve">Spider location </t>
  </si>
  <si>
    <t>YES</t>
  </si>
  <si>
    <t xml:space="preserve">FOU P50 end </t>
  </si>
  <si>
    <t xml:space="preserve">IAC P50 end </t>
  </si>
  <si>
    <t xml:space="preserve">WTG  P50 end </t>
  </si>
  <si>
    <t xml:space="preserve">Aver. Weight[t] </t>
  </si>
  <si>
    <t xml:space="preserve">FOU P50 start </t>
  </si>
  <si>
    <t xml:space="preserve">IAC P50 start </t>
  </si>
  <si>
    <t xml:space="preserve">WTG  P50 start </t>
  </si>
  <si>
    <t>WTG ID</t>
  </si>
  <si>
    <t xml:space="preserve">Name </t>
  </si>
  <si>
    <t xml:space="preserve">Explanation </t>
  </si>
  <si>
    <t xml:space="preserve">Type </t>
  </si>
  <si>
    <t xml:space="preserve">Severity </t>
  </si>
  <si>
    <t>Package</t>
  </si>
  <si>
    <t>FOU</t>
  </si>
  <si>
    <t>Spider locations should be installed first, but in no particular order.</t>
  </si>
  <si>
    <t>Spider locations FOU</t>
  </si>
  <si>
    <t>S1_01</t>
  </si>
  <si>
    <t>S1_02</t>
  </si>
  <si>
    <t>S1_03</t>
  </si>
  <si>
    <t>S1_04</t>
  </si>
  <si>
    <t>S1_05</t>
  </si>
  <si>
    <t>S2_01</t>
  </si>
  <si>
    <t>S2_02</t>
  </si>
  <si>
    <t>S2_03</t>
  </si>
  <si>
    <t>S2_04</t>
  </si>
  <si>
    <t>S2_05</t>
  </si>
  <si>
    <t>S3_01</t>
  </si>
  <si>
    <t>S3_02</t>
  </si>
  <si>
    <t>S3_03</t>
  </si>
  <si>
    <t>S3_04</t>
  </si>
  <si>
    <t>S3_05</t>
  </si>
  <si>
    <t>S4_01</t>
  </si>
  <si>
    <t>S4_02</t>
  </si>
  <si>
    <t>S4_03</t>
  </si>
  <si>
    <t>S4_04</t>
  </si>
  <si>
    <t>S4_05</t>
  </si>
  <si>
    <t>S5_01</t>
  </si>
  <si>
    <t>S5_02</t>
  </si>
  <si>
    <t>S5_03</t>
  </si>
  <si>
    <t>S5_04</t>
  </si>
  <si>
    <t>S5_05</t>
  </si>
  <si>
    <t>S6_01</t>
  </si>
  <si>
    <t>S6_02</t>
  </si>
  <si>
    <t>S6_03</t>
  </si>
  <si>
    <t>S6_04</t>
  </si>
  <si>
    <t>S6_05</t>
  </si>
  <si>
    <t>S7_01</t>
  </si>
  <si>
    <t>S7_02</t>
  </si>
  <si>
    <t>S7_03</t>
  </si>
  <si>
    <t>S7_04</t>
  </si>
  <si>
    <t>S7_05</t>
  </si>
  <si>
    <t>S8_01</t>
  </si>
  <si>
    <t>S8_02</t>
  </si>
  <si>
    <t>S8_03</t>
  </si>
  <si>
    <t>S8_04</t>
  </si>
  <si>
    <t>S8_05</t>
  </si>
  <si>
    <t>S9_01</t>
  </si>
  <si>
    <t>S9_02</t>
  </si>
  <si>
    <t>S9_03</t>
  </si>
  <si>
    <t>S9_04</t>
  </si>
  <si>
    <t>S9_05</t>
  </si>
  <si>
    <t>S10_01</t>
  </si>
  <si>
    <t>S10_02</t>
  </si>
  <si>
    <t>S10_03</t>
  </si>
  <si>
    <t>S10_04</t>
  </si>
  <si>
    <t>S10_05</t>
  </si>
  <si>
    <t>String</t>
  </si>
  <si>
    <t>Shallow locations</t>
  </si>
  <si>
    <t xml:space="preserve">Only one shallow location per trip allowed </t>
  </si>
  <si>
    <t>Soft</t>
  </si>
  <si>
    <t>Jacking difficulty</t>
  </si>
  <si>
    <t xml:space="preserve">Easy </t>
  </si>
  <si>
    <t>Buffer IAC-FOU</t>
  </si>
  <si>
    <t>Buffer WTG-IAC</t>
  </si>
  <si>
    <t>NO</t>
  </si>
  <si>
    <t>Optimizes the infield sailing time within the trip by calculating the distance between the turbines  from the given coordinates</t>
  </si>
  <si>
    <t>Infield sailing optimization FOU</t>
  </si>
  <si>
    <t>Status</t>
  </si>
  <si>
    <t>Hard</t>
  </si>
  <si>
    <t>Active</t>
  </si>
  <si>
    <t>NA</t>
  </si>
  <si>
    <t>Not active</t>
  </si>
  <si>
    <t xml:space="preserve">Avoid difficult locations in the first 3 trips </t>
  </si>
  <si>
    <t xml:space="preserve">Setting </t>
  </si>
  <si>
    <t>MP per trip</t>
  </si>
  <si>
    <t>Difficult</t>
  </si>
  <si>
    <t>Location</t>
  </si>
  <si>
    <t>Number</t>
  </si>
  <si>
    <t xml:space="preserve">Note: The dates are relevant for the location number and not for the WTG ID.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</si>
</sst>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EA8D4-BAA5-468E-B97E-DC4F4ED9B933}">
  <dimension ref="A1:R57"/>
  <sheetViews>
    <sheetView tabSelected="1" zoomScaleNormal="100" workbookViewId="0">
      <selection activeCell="G32" sqref="G32"/>
    </sheetView>
  </sheetViews>
  <sheetFormatPr defaultRowHeight="14.5" x14ac:dyDescent="0.35"/>
  <cols>
    <col min="1" max="1" width="13.26953125" bestFit="1" customWidth="1"/>
    <col min="5" max="5" width="15.26953125" style="2" customWidth="1"/>
    <col min="6" max="6" width="14.453125" customWidth="1"/>
    <col min="7" max="7" width="16" bestFit="1" customWidth="1"/>
    <col min="8" max="8" width="10.6328125" bestFit="1" customWidth="1"/>
    <col min="9" max="10" width="10.6328125" customWidth="1"/>
    <col min="11" max="11" width="16.81640625" customWidth="1"/>
    <col min="12" max="12" width="14.453125" customWidth="1"/>
    <col min="13" max="14" width="12.6328125" customWidth="1"/>
    <col min="15" max="15" width="11.7265625" bestFit="1" customWidth="1"/>
    <col min="16" max="16" width="11.7265625" customWidth="1"/>
    <col min="17" max="17" width="13.08984375" bestFit="1" customWidth="1"/>
    <col min="18" max="18" width="12.36328125" bestFit="1" customWidth="1"/>
  </cols>
  <sheetData>
    <row r="1" spans="1:18" ht="29" x14ac:dyDescent="0.35">
      <c r="A1" s="10" t="s">
        <v>64</v>
      </c>
      <c r="B1" s="10" t="s">
        <v>0</v>
      </c>
      <c r="C1" s="10" t="s">
        <v>1</v>
      </c>
      <c r="D1" s="10" t="s">
        <v>2</v>
      </c>
      <c r="E1" s="10" t="s">
        <v>60</v>
      </c>
      <c r="F1" s="10" t="s">
        <v>55</v>
      </c>
      <c r="G1" s="10" t="s">
        <v>54</v>
      </c>
      <c r="H1" s="10" t="s">
        <v>123</v>
      </c>
      <c r="I1" s="11" t="s">
        <v>127</v>
      </c>
      <c r="J1" s="11" t="s">
        <v>143</v>
      </c>
      <c r="K1" s="10" t="s">
        <v>129</v>
      </c>
      <c r="L1" s="10" t="s">
        <v>130</v>
      </c>
      <c r="M1" s="12" t="s">
        <v>61</v>
      </c>
      <c r="N1" s="12" t="s">
        <v>57</v>
      </c>
      <c r="O1" s="12" t="s">
        <v>62</v>
      </c>
      <c r="P1" s="12" t="s">
        <v>58</v>
      </c>
      <c r="Q1" s="12" t="s">
        <v>63</v>
      </c>
      <c r="R1" s="12" t="s">
        <v>59</v>
      </c>
    </row>
    <row r="2" spans="1:18" x14ac:dyDescent="0.35">
      <c r="A2" s="1" t="s">
        <v>7</v>
      </c>
      <c r="B2" s="1" t="s">
        <v>3</v>
      </c>
      <c r="C2" s="1">
        <v>450377.15769999998</v>
      </c>
      <c r="D2" s="1">
        <v>5924652.8443</v>
      </c>
      <c r="E2" s="5">
        <v>7656.3133333333344</v>
      </c>
      <c r="F2" s="4" t="s">
        <v>56</v>
      </c>
      <c r="G2" s="4" t="s">
        <v>131</v>
      </c>
      <c r="H2" s="5" t="s">
        <v>88</v>
      </c>
      <c r="I2" s="5" t="s">
        <v>128</v>
      </c>
      <c r="J2" s="5">
        <v>1</v>
      </c>
      <c r="K2" s="5">
        <f>O2-N2</f>
        <v>121</v>
      </c>
      <c r="L2" s="5">
        <f>Q2-P2</f>
        <v>211.30000000000291</v>
      </c>
      <c r="M2" s="13">
        <v>47574</v>
      </c>
      <c r="N2" s="13">
        <f>M2+1</f>
        <v>47575</v>
      </c>
      <c r="O2" s="13">
        <v>47696</v>
      </c>
      <c r="P2" s="13">
        <f>O2+0.7</f>
        <v>47696.7</v>
      </c>
      <c r="Q2" s="13">
        <v>47908</v>
      </c>
      <c r="R2" s="13">
        <f>Q3</f>
        <v>47912</v>
      </c>
    </row>
    <row r="3" spans="1:18" x14ac:dyDescent="0.35">
      <c r="A3" s="1" t="s">
        <v>23</v>
      </c>
      <c r="B3" s="1" t="s">
        <v>3</v>
      </c>
      <c r="C3" s="1">
        <v>453148.55459999997</v>
      </c>
      <c r="D3" s="1">
        <v>5924363.7493000003</v>
      </c>
      <c r="E3" s="5">
        <v>7348.2719999999999</v>
      </c>
      <c r="F3" s="4" t="s">
        <v>56</v>
      </c>
      <c r="G3" s="4" t="s">
        <v>131</v>
      </c>
      <c r="H3" s="5" t="s">
        <v>78</v>
      </c>
      <c r="I3" s="5" t="s">
        <v>128</v>
      </c>
      <c r="J3" s="5">
        <v>2</v>
      </c>
      <c r="K3" s="5">
        <f>O3-N3</f>
        <v>120.69999999999709</v>
      </c>
      <c r="L3" s="5">
        <f>Q3-P3</f>
        <v>214.60000000000582</v>
      </c>
      <c r="M3" s="13">
        <f>M2+1</f>
        <v>47575</v>
      </c>
      <c r="N3" s="13">
        <f>M3+1</f>
        <v>47576</v>
      </c>
      <c r="O3" s="13">
        <f>O2+0.7</f>
        <v>47696.7</v>
      </c>
      <c r="P3" s="13">
        <f>O3+0.7</f>
        <v>47697.399999999994</v>
      </c>
      <c r="Q3" s="13">
        <f>Q2+4</f>
        <v>47912</v>
      </c>
      <c r="R3" s="13">
        <f>R2+4</f>
        <v>47916</v>
      </c>
    </row>
    <row r="4" spans="1:18" x14ac:dyDescent="0.35">
      <c r="A4" s="1" t="s">
        <v>39</v>
      </c>
      <c r="B4" s="1" t="s">
        <v>3</v>
      </c>
      <c r="C4" s="1">
        <v>447399.98560000001</v>
      </c>
      <c r="D4" s="1">
        <v>5923286.1697000004</v>
      </c>
      <c r="E4" s="5">
        <v>7200.942</v>
      </c>
      <c r="F4" s="4" t="s">
        <v>56</v>
      </c>
      <c r="G4" s="4" t="s">
        <v>131</v>
      </c>
      <c r="H4" s="5" t="s">
        <v>103</v>
      </c>
      <c r="I4" s="5" t="s">
        <v>128</v>
      </c>
      <c r="J4" s="5">
        <v>3</v>
      </c>
      <c r="K4" s="5">
        <f>O4-N4</f>
        <v>120.39999999999418</v>
      </c>
      <c r="L4" s="5">
        <f>Q4-P4</f>
        <v>217.90000000000873</v>
      </c>
      <c r="M4" s="13">
        <f>M3+1</f>
        <v>47576</v>
      </c>
      <c r="N4" s="13">
        <f>M4+1</f>
        <v>47577</v>
      </c>
      <c r="O4" s="13">
        <f>O3+0.7</f>
        <v>47697.399999999994</v>
      </c>
      <c r="P4" s="13">
        <f>O4+0.7</f>
        <v>47698.099999999991</v>
      </c>
      <c r="Q4" s="13">
        <f>Q3+4</f>
        <v>47916</v>
      </c>
      <c r="R4" s="13">
        <f>R3+4</f>
        <v>47920</v>
      </c>
    </row>
    <row r="5" spans="1:18" x14ac:dyDescent="0.35">
      <c r="A5" s="1" t="s">
        <v>53</v>
      </c>
      <c r="B5" s="1" t="s">
        <v>3</v>
      </c>
      <c r="C5" s="1">
        <v>448879.7586</v>
      </c>
      <c r="D5" s="1">
        <v>5923568.3879000004</v>
      </c>
      <c r="E5" s="5">
        <v>7231.706000000001</v>
      </c>
      <c r="F5" s="4" t="s">
        <v>56</v>
      </c>
      <c r="G5" s="4" t="s">
        <v>131</v>
      </c>
      <c r="H5" s="5" t="s">
        <v>98</v>
      </c>
      <c r="I5" s="5" t="s">
        <v>128</v>
      </c>
      <c r="J5" s="5">
        <v>4</v>
      </c>
      <c r="K5" s="5">
        <f>O5-N5</f>
        <v>120.09999999999127</v>
      </c>
      <c r="L5" s="5">
        <f>Q5-P5</f>
        <v>221.20000000001164</v>
      </c>
      <c r="M5" s="13">
        <f>M4+1</f>
        <v>47577</v>
      </c>
      <c r="N5" s="13">
        <f>M5+1</f>
        <v>47578</v>
      </c>
      <c r="O5" s="13">
        <f>O4+0.7</f>
        <v>47698.099999999991</v>
      </c>
      <c r="P5" s="13">
        <f>O5+0.7</f>
        <v>47698.799999999988</v>
      </c>
      <c r="Q5" s="13">
        <f>Q4+4</f>
        <v>47920</v>
      </c>
      <c r="R5" s="13">
        <f>R4+4</f>
        <v>47924</v>
      </c>
    </row>
    <row r="6" spans="1:18" x14ac:dyDescent="0.35">
      <c r="A6" s="1" t="s">
        <v>42</v>
      </c>
      <c r="B6" s="1" t="s">
        <v>3</v>
      </c>
      <c r="C6" s="1">
        <v>450224.45169999998</v>
      </c>
      <c r="D6" s="1">
        <v>5923406.2419999996</v>
      </c>
      <c r="E6" s="5">
        <v>6973.9893333333339</v>
      </c>
      <c r="F6" s="4" t="s">
        <v>56</v>
      </c>
      <c r="G6" s="4" t="s">
        <v>131</v>
      </c>
      <c r="H6" s="5" t="s">
        <v>93</v>
      </c>
      <c r="I6" s="5" t="s">
        <v>128</v>
      </c>
      <c r="J6" s="5">
        <v>5</v>
      </c>
      <c r="K6" s="5">
        <f>O6-N6</f>
        <v>119.79999999998836</v>
      </c>
      <c r="L6" s="5">
        <f>Q6-P6</f>
        <v>224.50000000001455</v>
      </c>
      <c r="M6" s="13">
        <f>M5+1</f>
        <v>47578</v>
      </c>
      <c r="N6" s="13">
        <f>M6+1</f>
        <v>47579</v>
      </c>
      <c r="O6" s="13">
        <f>O5+0.7</f>
        <v>47698.799999999988</v>
      </c>
      <c r="P6" s="13">
        <f>O6+0.7</f>
        <v>47699.499999999985</v>
      </c>
      <c r="Q6" s="13">
        <f>Q5+4</f>
        <v>47924</v>
      </c>
      <c r="R6" s="13">
        <f>R5+4</f>
        <v>47928</v>
      </c>
    </row>
    <row r="7" spans="1:18" x14ac:dyDescent="0.35">
      <c r="A7" s="1" t="s">
        <v>41</v>
      </c>
      <c r="B7" s="1" t="s">
        <v>3</v>
      </c>
      <c r="C7" s="1">
        <v>451652.96019999997</v>
      </c>
      <c r="D7" s="1">
        <v>5923167.5865000002</v>
      </c>
      <c r="E7" s="5">
        <v>7176.8093333333336</v>
      </c>
      <c r="F7" s="4" t="s">
        <v>56</v>
      </c>
      <c r="G7" s="4" t="s">
        <v>131</v>
      </c>
      <c r="H7" s="5" t="s">
        <v>83</v>
      </c>
      <c r="I7" s="5" t="s">
        <v>128</v>
      </c>
      <c r="J7" s="5">
        <v>6</v>
      </c>
      <c r="K7" s="5">
        <f>O7-N7</f>
        <v>119.49999999998545</v>
      </c>
      <c r="L7" s="5">
        <f>Q7-P7</f>
        <v>227.80000000001746</v>
      </c>
      <c r="M7" s="13">
        <f>M6+1</f>
        <v>47579</v>
      </c>
      <c r="N7" s="13">
        <f>M7+1</f>
        <v>47580</v>
      </c>
      <c r="O7" s="13">
        <f>O6+0.7</f>
        <v>47699.499999999985</v>
      </c>
      <c r="P7" s="13">
        <f>O7+0.7</f>
        <v>47700.199999999983</v>
      </c>
      <c r="Q7" s="13">
        <f>Q6+4</f>
        <v>47928</v>
      </c>
      <c r="R7" s="13">
        <f>R6+4</f>
        <v>47932</v>
      </c>
    </row>
    <row r="8" spans="1:18" x14ac:dyDescent="0.35">
      <c r="A8" s="1" t="s">
        <v>45</v>
      </c>
      <c r="B8" s="1" t="s">
        <v>3</v>
      </c>
      <c r="C8" s="1">
        <v>450168.83750000002</v>
      </c>
      <c r="D8" s="1">
        <v>5922329.3293000003</v>
      </c>
      <c r="E8" s="5">
        <v>6860.1253333333334</v>
      </c>
      <c r="F8" s="4" t="s">
        <v>56</v>
      </c>
      <c r="G8" s="4" t="s">
        <v>131</v>
      </c>
      <c r="H8" s="5" t="s">
        <v>108</v>
      </c>
      <c r="I8" s="5" t="s">
        <v>128</v>
      </c>
      <c r="J8" s="5">
        <v>7</v>
      </c>
      <c r="K8" s="5">
        <f>O8-N8</f>
        <v>119.19999999998254</v>
      </c>
      <c r="L8" s="5">
        <f>Q8-P8</f>
        <v>231.10000000002037</v>
      </c>
      <c r="M8" s="13">
        <f>M7+1</f>
        <v>47580</v>
      </c>
      <c r="N8" s="13">
        <f>M8+1</f>
        <v>47581</v>
      </c>
      <c r="O8" s="13">
        <f>O7+0.7</f>
        <v>47700.199999999983</v>
      </c>
      <c r="P8" s="13">
        <f>O8+0.7</f>
        <v>47700.89999999998</v>
      </c>
      <c r="Q8" s="13">
        <f>Q7+4</f>
        <v>47932</v>
      </c>
      <c r="R8" s="13">
        <f>R7+4</f>
        <v>47936</v>
      </c>
    </row>
    <row r="9" spans="1:18" x14ac:dyDescent="0.35">
      <c r="A9" s="1" t="s">
        <v>50</v>
      </c>
      <c r="B9" s="1" t="s">
        <v>3</v>
      </c>
      <c r="C9" s="1">
        <v>449952.50870000001</v>
      </c>
      <c r="D9" s="1">
        <v>5921209.0383000001</v>
      </c>
      <c r="E9" s="5">
        <v>6398.5140000000001</v>
      </c>
      <c r="F9" s="4" t="s">
        <v>56</v>
      </c>
      <c r="G9" s="4" t="s">
        <v>131</v>
      </c>
      <c r="H9" s="5" t="s">
        <v>113</v>
      </c>
      <c r="I9" s="5" t="s">
        <v>128</v>
      </c>
      <c r="J9" s="5">
        <v>8</v>
      </c>
      <c r="K9" s="5">
        <f>O9-N9</f>
        <v>118.89999999997963</v>
      </c>
      <c r="L9" s="5">
        <f>Q9-P9</f>
        <v>234.40000000002328</v>
      </c>
      <c r="M9" s="13">
        <f>M8+1</f>
        <v>47581</v>
      </c>
      <c r="N9" s="13">
        <f>M9+1</f>
        <v>47582</v>
      </c>
      <c r="O9" s="13">
        <f>O8+0.7</f>
        <v>47700.89999999998</v>
      </c>
      <c r="P9" s="13">
        <f>O9+0.7</f>
        <v>47701.599999999977</v>
      </c>
      <c r="Q9" s="13">
        <f>Q8+4</f>
        <v>47936</v>
      </c>
      <c r="R9" s="13">
        <f>R8+4</f>
        <v>47940</v>
      </c>
    </row>
    <row r="10" spans="1:18" x14ac:dyDescent="0.35">
      <c r="A10" s="1" t="s">
        <v>51</v>
      </c>
      <c r="B10" s="1" t="s">
        <v>3</v>
      </c>
      <c r="C10" s="1">
        <v>451468.89179999998</v>
      </c>
      <c r="D10" s="1">
        <v>5921441.3432999998</v>
      </c>
      <c r="E10" s="5">
        <v>6336.7353333333331</v>
      </c>
      <c r="F10" s="4" t="s">
        <v>56</v>
      </c>
      <c r="G10" s="4" t="s">
        <v>56</v>
      </c>
      <c r="H10" s="5" t="s">
        <v>118</v>
      </c>
      <c r="I10" s="5" t="s">
        <v>128</v>
      </c>
      <c r="J10" s="5">
        <v>9</v>
      </c>
      <c r="K10" s="5">
        <f>O10-N10</f>
        <v>118.59999999997672</v>
      </c>
      <c r="L10" s="5">
        <f>Q10-P10</f>
        <v>237.70000000002619</v>
      </c>
      <c r="M10" s="13">
        <f>M9+1</f>
        <v>47582</v>
      </c>
      <c r="N10" s="13">
        <f>M10+1</f>
        <v>47583</v>
      </c>
      <c r="O10" s="13">
        <f>O9+0.7</f>
        <v>47701.599999999977</v>
      </c>
      <c r="P10" s="13">
        <f>O10+0.7</f>
        <v>47702.299999999974</v>
      </c>
      <c r="Q10" s="13">
        <f>Q9+4</f>
        <v>47940</v>
      </c>
      <c r="R10" s="13">
        <f>R9+4</f>
        <v>47944</v>
      </c>
    </row>
    <row r="11" spans="1:18" x14ac:dyDescent="0.35">
      <c r="A11" s="1" t="s">
        <v>52</v>
      </c>
      <c r="B11" s="1" t="s">
        <v>3</v>
      </c>
      <c r="C11" s="1">
        <v>452888.74979999999</v>
      </c>
      <c r="D11" s="1">
        <v>5921513.1471999995</v>
      </c>
      <c r="E11" s="5">
        <v>6345.0686666666661</v>
      </c>
      <c r="F11" s="4" t="s">
        <v>56</v>
      </c>
      <c r="G11" s="4" t="s">
        <v>56</v>
      </c>
      <c r="H11" s="5" t="s">
        <v>73</v>
      </c>
      <c r="I11" s="5" t="s">
        <v>128</v>
      </c>
      <c r="J11" s="5">
        <v>10</v>
      </c>
      <c r="K11" s="5">
        <f>O11-N11</f>
        <v>118.29999999997381</v>
      </c>
      <c r="L11" s="5">
        <f>Q11-P11</f>
        <v>241.0000000000291</v>
      </c>
      <c r="M11" s="13">
        <f>M10+1</f>
        <v>47583</v>
      </c>
      <c r="N11" s="13">
        <f>M11+1</f>
        <v>47584</v>
      </c>
      <c r="O11" s="13">
        <f>O10+0.7</f>
        <v>47702.299999999974</v>
      </c>
      <c r="P11" s="13">
        <f>O11+0.7</f>
        <v>47702.999999999971</v>
      </c>
      <c r="Q11" s="13">
        <f>Q10+4</f>
        <v>47944</v>
      </c>
      <c r="R11" s="13">
        <f>R10+4</f>
        <v>47948</v>
      </c>
    </row>
    <row r="12" spans="1:18" x14ac:dyDescent="0.35">
      <c r="A12" s="1" t="s">
        <v>14</v>
      </c>
      <c r="B12" s="1" t="s">
        <v>3</v>
      </c>
      <c r="C12" s="1">
        <v>443088.8027</v>
      </c>
      <c r="D12" s="1">
        <v>5926740.4285000004</v>
      </c>
      <c r="E12" s="5">
        <v>7385.8413333333338</v>
      </c>
      <c r="F12" s="4" t="s">
        <v>131</v>
      </c>
      <c r="G12" s="4" t="s">
        <v>131</v>
      </c>
      <c r="H12" s="5" t="s">
        <v>102</v>
      </c>
      <c r="I12" s="5" t="s">
        <v>128</v>
      </c>
      <c r="J12" s="5">
        <v>11</v>
      </c>
      <c r="K12" s="5">
        <f>O12-N12</f>
        <v>117.9999999999709</v>
      </c>
      <c r="L12" s="5">
        <f>Q12-P12</f>
        <v>244.30000000003201</v>
      </c>
      <c r="M12" s="13">
        <f>M11+1</f>
        <v>47584</v>
      </c>
      <c r="N12" s="13">
        <f>M12+1</f>
        <v>47585</v>
      </c>
      <c r="O12" s="13">
        <f>O11+0.7</f>
        <v>47702.999999999971</v>
      </c>
      <c r="P12" s="13">
        <f>O12+0.7</f>
        <v>47703.699999999968</v>
      </c>
      <c r="Q12" s="13">
        <f>Q11+4</f>
        <v>47948</v>
      </c>
      <c r="R12" s="13">
        <f>R11+4</f>
        <v>47952</v>
      </c>
    </row>
    <row r="13" spans="1:18" x14ac:dyDescent="0.35">
      <c r="A13" s="1" t="s">
        <v>8</v>
      </c>
      <c r="B13" s="1" t="s">
        <v>3</v>
      </c>
      <c r="C13" s="1">
        <v>444853.66460000002</v>
      </c>
      <c r="D13" s="1">
        <v>5926754.4106999999</v>
      </c>
      <c r="E13" s="5">
        <v>7697.3633333333337</v>
      </c>
      <c r="F13" s="4" t="s">
        <v>131</v>
      </c>
      <c r="G13" s="4" t="s">
        <v>131</v>
      </c>
      <c r="H13" s="5" t="s">
        <v>97</v>
      </c>
      <c r="I13" s="5" t="s">
        <v>128</v>
      </c>
      <c r="J13" s="5">
        <v>12</v>
      </c>
      <c r="K13" s="5">
        <f>O13-N13</f>
        <v>117.69999999996799</v>
      </c>
      <c r="L13" s="5">
        <f>Q13-P13</f>
        <v>247.60000000003492</v>
      </c>
      <c r="M13" s="13">
        <f>M12+1</f>
        <v>47585</v>
      </c>
      <c r="N13" s="13">
        <f>M13+1</f>
        <v>47586</v>
      </c>
      <c r="O13" s="13">
        <f>O12+0.7</f>
        <v>47703.699999999968</v>
      </c>
      <c r="P13" s="13">
        <f>O13+0.7</f>
        <v>47704.399999999965</v>
      </c>
      <c r="Q13" s="13">
        <f>Q12+4</f>
        <v>47952</v>
      </c>
      <c r="R13" s="13">
        <f>R12+4</f>
        <v>47956</v>
      </c>
    </row>
    <row r="14" spans="1:18" x14ac:dyDescent="0.35">
      <c r="A14" s="1" t="s">
        <v>5</v>
      </c>
      <c r="B14" s="1" t="s">
        <v>3</v>
      </c>
      <c r="C14" s="1">
        <v>446248.53989999997</v>
      </c>
      <c r="D14" s="1">
        <v>5926765.4616999999</v>
      </c>
      <c r="E14" s="5">
        <v>7791.7053333333342</v>
      </c>
      <c r="F14" s="4" t="s">
        <v>131</v>
      </c>
      <c r="G14" s="4" t="s">
        <v>131</v>
      </c>
      <c r="H14" s="5" t="s">
        <v>96</v>
      </c>
      <c r="I14" s="5" t="s">
        <v>128</v>
      </c>
      <c r="J14" s="5">
        <v>13</v>
      </c>
      <c r="K14" s="5">
        <f>O14-N14</f>
        <v>117.39999999996508</v>
      </c>
      <c r="L14" s="5">
        <f>Q14-P14</f>
        <v>250.90000000003783</v>
      </c>
      <c r="M14" s="13">
        <f>M13+1</f>
        <v>47586</v>
      </c>
      <c r="N14" s="13">
        <f>M14+1</f>
        <v>47587</v>
      </c>
      <c r="O14" s="13">
        <f>O13+0.7</f>
        <v>47704.399999999965</v>
      </c>
      <c r="P14" s="13">
        <f>O14+0.7</f>
        <v>47705.099999999962</v>
      </c>
      <c r="Q14" s="13">
        <f>Q13+4</f>
        <v>47956</v>
      </c>
      <c r="R14" s="13">
        <f>R13+4</f>
        <v>47960</v>
      </c>
    </row>
    <row r="15" spans="1:18" x14ac:dyDescent="0.35">
      <c r="A15" s="1" t="s">
        <v>4</v>
      </c>
      <c r="B15" s="1" t="s">
        <v>3</v>
      </c>
      <c r="C15" s="1">
        <v>447643.73979999998</v>
      </c>
      <c r="D15" s="1">
        <v>5926776.5153000001</v>
      </c>
      <c r="E15" s="5">
        <v>7522.3746666666666</v>
      </c>
      <c r="F15" s="4" t="s">
        <v>131</v>
      </c>
      <c r="G15" s="4" t="s">
        <v>131</v>
      </c>
      <c r="H15" s="5" t="s">
        <v>91</v>
      </c>
      <c r="I15" s="5" t="s">
        <v>128</v>
      </c>
      <c r="J15" s="5">
        <v>14</v>
      </c>
      <c r="K15" s="5">
        <f>O15-N15</f>
        <v>117.09999999996217</v>
      </c>
      <c r="L15" s="5">
        <f>Q15-P15</f>
        <v>254.20000000004075</v>
      </c>
      <c r="M15" s="13">
        <f>M14+1</f>
        <v>47587</v>
      </c>
      <c r="N15" s="13">
        <f>M15+1</f>
        <v>47588</v>
      </c>
      <c r="O15" s="13">
        <f>O14+0.7</f>
        <v>47705.099999999962</v>
      </c>
      <c r="P15" s="13">
        <f>O15+0.7</f>
        <v>47705.799999999959</v>
      </c>
      <c r="Q15" s="13">
        <f>Q14+4</f>
        <v>47960</v>
      </c>
      <c r="R15" s="13">
        <f>R14+4</f>
        <v>47964</v>
      </c>
    </row>
    <row r="16" spans="1:18" x14ac:dyDescent="0.35">
      <c r="A16" s="1" t="s">
        <v>10</v>
      </c>
      <c r="B16" s="1" t="s">
        <v>3</v>
      </c>
      <c r="C16" s="1">
        <v>449082.30219999998</v>
      </c>
      <c r="D16" s="1">
        <v>5926787.9123999998</v>
      </c>
      <c r="E16" s="5">
        <v>7661.7380000000003</v>
      </c>
      <c r="F16" s="4" t="s">
        <v>131</v>
      </c>
      <c r="G16" s="4" t="s">
        <v>131</v>
      </c>
      <c r="H16" s="5" t="s">
        <v>92</v>
      </c>
      <c r="I16" s="5" t="s">
        <v>128</v>
      </c>
      <c r="J16" s="5">
        <v>15</v>
      </c>
      <c r="K16" s="5">
        <f>O16-N16</f>
        <v>116.79999999995925</v>
      </c>
      <c r="L16" s="5">
        <f>Q16-P16</f>
        <v>257.50000000004366</v>
      </c>
      <c r="M16" s="13">
        <f>M15+1</f>
        <v>47588</v>
      </c>
      <c r="N16" s="13">
        <f>M16+1</f>
        <v>47589</v>
      </c>
      <c r="O16" s="13">
        <f>O15+0.7</f>
        <v>47705.799999999959</v>
      </c>
      <c r="P16" s="13">
        <f>O16+0.7</f>
        <v>47706.499999999956</v>
      </c>
      <c r="Q16" s="13">
        <f>Q15+4</f>
        <v>47964</v>
      </c>
      <c r="R16" s="13">
        <f>R15+4</f>
        <v>47968</v>
      </c>
    </row>
    <row r="17" spans="1:18" x14ac:dyDescent="0.35">
      <c r="A17" s="1" t="s">
        <v>17</v>
      </c>
      <c r="B17" s="1" t="s">
        <v>3</v>
      </c>
      <c r="C17" s="1">
        <v>450468.3934</v>
      </c>
      <c r="D17" s="1">
        <v>5926798.8937999997</v>
      </c>
      <c r="E17" s="5">
        <v>7416.1686666666674</v>
      </c>
      <c r="F17" s="4" t="s">
        <v>131</v>
      </c>
      <c r="G17" s="4" t="s">
        <v>131</v>
      </c>
      <c r="H17" s="5" t="s">
        <v>87</v>
      </c>
      <c r="I17" s="5" t="s">
        <v>128</v>
      </c>
      <c r="J17" s="5">
        <v>16</v>
      </c>
      <c r="K17" s="5">
        <f>O17-N17</f>
        <v>116.49999999995634</v>
      </c>
      <c r="L17" s="5">
        <f>Q17-P17</f>
        <v>260.80000000004657</v>
      </c>
      <c r="M17" s="13">
        <f>M16+1</f>
        <v>47589</v>
      </c>
      <c r="N17" s="13">
        <f>M17+1</f>
        <v>47590</v>
      </c>
      <c r="O17" s="13">
        <f>O16+0.7</f>
        <v>47706.499999999956</v>
      </c>
      <c r="P17" s="13">
        <f>O17+0.7</f>
        <v>47707.199999999953</v>
      </c>
      <c r="Q17" s="13">
        <f>Q16+4</f>
        <v>47968</v>
      </c>
      <c r="R17" s="13">
        <f>R16+4</f>
        <v>47972</v>
      </c>
    </row>
    <row r="18" spans="1:18" x14ac:dyDescent="0.35">
      <c r="A18" s="1" t="s">
        <v>20</v>
      </c>
      <c r="B18" s="1" t="s">
        <v>3</v>
      </c>
      <c r="C18" s="1">
        <v>451965.5601</v>
      </c>
      <c r="D18" s="1">
        <v>5926816.5809000004</v>
      </c>
      <c r="E18" s="5">
        <v>7664.57</v>
      </c>
      <c r="F18" s="4" t="s">
        <v>131</v>
      </c>
      <c r="G18" s="4" t="s">
        <v>131</v>
      </c>
      <c r="H18" s="5" t="s">
        <v>86</v>
      </c>
      <c r="I18" s="5" t="s">
        <v>128</v>
      </c>
      <c r="J18" s="5">
        <v>17</v>
      </c>
      <c r="K18" s="5">
        <f>O18-N18</f>
        <v>116.19999999995343</v>
      </c>
      <c r="L18" s="5">
        <f>Q18-P18</f>
        <v>264.10000000004948</v>
      </c>
      <c r="M18" s="13">
        <f>M17+1</f>
        <v>47590</v>
      </c>
      <c r="N18" s="13">
        <f>M18+1</f>
        <v>47591</v>
      </c>
      <c r="O18" s="13">
        <f>O17+0.7</f>
        <v>47707.199999999953</v>
      </c>
      <c r="P18" s="13">
        <f>O18+0.7</f>
        <v>47707.899999999951</v>
      </c>
      <c r="Q18" s="13">
        <f>Q17+4</f>
        <v>47972</v>
      </c>
      <c r="R18" s="13">
        <f>R17+4</f>
        <v>47976</v>
      </c>
    </row>
    <row r="19" spans="1:18" x14ac:dyDescent="0.35">
      <c r="A19" s="1" t="s">
        <v>35</v>
      </c>
      <c r="B19" s="1" t="s">
        <v>3</v>
      </c>
      <c r="C19" s="1">
        <v>453344.40120000002</v>
      </c>
      <c r="D19" s="1">
        <v>5926821.4907999998</v>
      </c>
      <c r="E19" s="5">
        <v>7280.9006666666673</v>
      </c>
      <c r="F19" s="4" t="s">
        <v>131</v>
      </c>
      <c r="G19" s="4" t="s">
        <v>131</v>
      </c>
      <c r="H19" s="5" t="s">
        <v>80</v>
      </c>
      <c r="I19" s="5" t="s">
        <v>128</v>
      </c>
      <c r="J19" s="5">
        <v>18</v>
      </c>
      <c r="K19" s="5">
        <f>O19-N19</f>
        <v>115.89999999995052</v>
      </c>
      <c r="L19" s="5">
        <f>Q19-P19</f>
        <v>267.40000000005239</v>
      </c>
      <c r="M19" s="13">
        <f>M18+1</f>
        <v>47591</v>
      </c>
      <c r="N19" s="13">
        <f>M19+1</f>
        <v>47592</v>
      </c>
      <c r="O19" s="13">
        <f>O18+0.7</f>
        <v>47707.899999999951</v>
      </c>
      <c r="P19" s="13">
        <f>O19+0.7</f>
        <v>47708.599999999948</v>
      </c>
      <c r="Q19" s="13">
        <f>Q18+4</f>
        <v>47976</v>
      </c>
      <c r="R19" s="13">
        <f>R18+4</f>
        <v>47980</v>
      </c>
    </row>
    <row r="20" spans="1:18" x14ac:dyDescent="0.35">
      <c r="A20" s="1" t="s">
        <v>29</v>
      </c>
      <c r="B20" s="1" t="s">
        <v>3</v>
      </c>
      <c r="C20" s="1">
        <v>454701.1911</v>
      </c>
      <c r="D20" s="1">
        <v>5926832.1205000002</v>
      </c>
      <c r="E20" s="5">
        <v>7287.6940000000004</v>
      </c>
      <c r="F20" s="4" t="s">
        <v>131</v>
      </c>
      <c r="G20" s="4" t="s">
        <v>131</v>
      </c>
      <c r="H20" s="5" t="s">
        <v>81</v>
      </c>
      <c r="I20" s="5" t="s">
        <v>128</v>
      </c>
      <c r="J20" s="5">
        <v>19</v>
      </c>
      <c r="K20" s="5">
        <f>O20-N20</f>
        <v>115.59999999994761</v>
      </c>
      <c r="L20" s="5">
        <f>Q20-P20</f>
        <v>270.7000000000553</v>
      </c>
      <c r="M20" s="13">
        <f>M19+1</f>
        <v>47592</v>
      </c>
      <c r="N20" s="13">
        <f>M20+1</f>
        <v>47593</v>
      </c>
      <c r="O20" s="13">
        <f>O19+0.7</f>
        <v>47708.599999999948</v>
      </c>
      <c r="P20" s="13">
        <f>O20+0.7</f>
        <v>47709.299999999945</v>
      </c>
      <c r="Q20" s="13">
        <f>Q19+4</f>
        <v>47980</v>
      </c>
      <c r="R20" s="13">
        <f>R19+4</f>
        <v>47984</v>
      </c>
    </row>
    <row r="21" spans="1:18" x14ac:dyDescent="0.35">
      <c r="A21" s="1" t="s">
        <v>24</v>
      </c>
      <c r="B21" s="1" t="s">
        <v>3</v>
      </c>
      <c r="C21" s="1">
        <v>455951.71789999999</v>
      </c>
      <c r="D21" s="1">
        <v>5926841.9177000001</v>
      </c>
      <c r="E21" s="5">
        <v>7305.0273333333344</v>
      </c>
      <c r="F21" s="4" t="s">
        <v>131</v>
      </c>
      <c r="G21" s="4" t="s">
        <v>131</v>
      </c>
      <c r="H21" s="5" t="s">
        <v>82</v>
      </c>
      <c r="I21" s="5" t="s">
        <v>128</v>
      </c>
      <c r="J21" s="5">
        <v>20</v>
      </c>
      <c r="K21" s="5">
        <f>O21-N21</f>
        <v>115.2999999999447</v>
      </c>
      <c r="L21" s="5">
        <f>Q21-P21</f>
        <v>274.00000000005821</v>
      </c>
      <c r="M21" s="13">
        <f>M20+1</f>
        <v>47593</v>
      </c>
      <c r="N21" s="13">
        <f>M21+1</f>
        <v>47594</v>
      </c>
      <c r="O21" s="13">
        <f>O20+0.7</f>
        <v>47709.299999999945</v>
      </c>
      <c r="P21" s="13">
        <f>O21+0.7</f>
        <v>47709.999999999942</v>
      </c>
      <c r="Q21" s="13">
        <f>Q20+4</f>
        <v>47984</v>
      </c>
      <c r="R21" s="13">
        <f>R20+4</f>
        <v>47988</v>
      </c>
    </row>
    <row r="22" spans="1:18" x14ac:dyDescent="0.35">
      <c r="A22" s="1" t="s">
        <v>28</v>
      </c>
      <c r="B22" s="1" t="s">
        <v>3</v>
      </c>
      <c r="C22" s="1">
        <v>457206.77889999998</v>
      </c>
      <c r="D22" s="1">
        <v>5926851.7503000004</v>
      </c>
      <c r="E22" s="5">
        <v>7285.2280000000001</v>
      </c>
      <c r="F22" s="4" t="s">
        <v>131</v>
      </c>
      <c r="G22" s="4" t="s">
        <v>131</v>
      </c>
      <c r="H22" s="5" t="s">
        <v>77</v>
      </c>
      <c r="I22" s="5" t="s">
        <v>128</v>
      </c>
      <c r="J22" s="5">
        <v>21</v>
      </c>
      <c r="K22" s="5">
        <f>O22-N22</f>
        <v>114.99999999994179</v>
      </c>
      <c r="L22" s="5">
        <f>Q22-P22</f>
        <v>277.30000000006112</v>
      </c>
      <c r="M22" s="13">
        <f>M21+1</f>
        <v>47594</v>
      </c>
      <c r="N22" s="13">
        <f>M22+1</f>
        <v>47595</v>
      </c>
      <c r="O22" s="13">
        <f>O21+0.7</f>
        <v>47709.999999999942</v>
      </c>
      <c r="P22" s="13">
        <f>O22+0.7</f>
        <v>47710.699999999939</v>
      </c>
      <c r="Q22" s="13">
        <f>Q21+4</f>
        <v>47988</v>
      </c>
      <c r="R22" s="13">
        <f>R21+4</f>
        <v>47992</v>
      </c>
    </row>
    <row r="23" spans="1:18" x14ac:dyDescent="0.35">
      <c r="A23" s="1" t="s">
        <v>18</v>
      </c>
      <c r="B23" s="1" t="s">
        <v>3</v>
      </c>
      <c r="C23" s="1">
        <v>443092.87349999999</v>
      </c>
      <c r="D23" s="1">
        <v>5925672.8383999998</v>
      </c>
      <c r="E23" s="5">
        <v>7357.4726666666656</v>
      </c>
      <c r="F23" s="4" t="s">
        <v>131</v>
      </c>
      <c r="G23" s="4" t="s">
        <v>131</v>
      </c>
      <c r="H23" s="5" t="s">
        <v>106</v>
      </c>
      <c r="I23" s="5" t="s">
        <v>128</v>
      </c>
      <c r="J23" s="5">
        <v>22</v>
      </c>
      <c r="K23" s="5">
        <f>O23-N23</f>
        <v>114.69999999993888</v>
      </c>
      <c r="L23" s="5">
        <f>Q23-P23</f>
        <v>280.60000000006403</v>
      </c>
      <c r="M23" s="13">
        <f>M22+1</f>
        <v>47595</v>
      </c>
      <c r="N23" s="13">
        <f>M23+1</f>
        <v>47596</v>
      </c>
      <c r="O23" s="13">
        <f>O22+0.7</f>
        <v>47710.699999999939</v>
      </c>
      <c r="P23" s="13">
        <f>O23+0.7</f>
        <v>47711.399999999936</v>
      </c>
      <c r="Q23" s="13">
        <f>Q22+4</f>
        <v>47992</v>
      </c>
      <c r="R23" s="13">
        <f>R22+4</f>
        <v>47996</v>
      </c>
    </row>
    <row r="24" spans="1:18" x14ac:dyDescent="0.35">
      <c r="A24" s="1" t="s">
        <v>11</v>
      </c>
      <c r="B24" s="1" t="s">
        <v>3</v>
      </c>
      <c r="C24" s="1">
        <v>444858.09419999999</v>
      </c>
      <c r="D24" s="1">
        <v>5925722.3081999999</v>
      </c>
      <c r="E24" s="5">
        <v>7413.6613333333335</v>
      </c>
      <c r="F24" s="4" t="s">
        <v>131</v>
      </c>
      <c r="G24" s="4" t="s">
        <v>131</v>
      </c>
      <c r="H24" s="5" t="s">
        <v>101</v>
      </c>
      <c r="I24" s="5" t="s">
        <v>142</v>
      </c>
      <c r="J24" s="5">
        <v>23</v>
      </c>
      <c r="K24" s="5">
        <f>O24-N24</f>
        <v>114.39999999993597</v>
      </c>
      <c r="L24" s="5">
        <f>Q24-P24</f>
        <v>283.90000000006694</v>
      </c>
      <c r="M24" s="13">
        <f>M23+1</f>
        <v>47596</v>
      </c>
      <c r="N24" s="13">
        <f>M24+1</f>
        <v>47597</v>
      </c>
      <c r="O24" s="13">
        <f>O23+0.7</f>
        <v>47711.399999999936</v>
      </c>
      <c r="P24" s="13">
        <f>O24+0.7</f>
        <v>47712.099999999933</v>
      </c>
      <c r="Q24" s="13">
        <f>Q23+4</f>
        <v>47996</v>
      </c>
      <c r="R24" s="13">
        <f>R23+4</f>
        <v>48000</v>
      </c>
    </row>
    <row r="25" spans="1:18" x14ac:dyDescent="0.35">
      <c r="A25" s="1" t="s">
        <v>12</v>
      </c>
      <c r="B25" s="1" t="s">
        <v>3</v>
      </c>
      <c r="C25" s="1">
        <v>446306.804</v>
      </c>
      <c r="D25" s="1">
        <v>5925744.102</v>
      </c>
      <c r="E25" s="5">
        <v>7657.8353333333334</v>
      </c>
      <c r="F25" s="4" t="s">
        <v>131</v>
      </c>
      <c r="G25" s="4" t="s">
        <v>131</v>
      </c>
      <c r="H25" s="5" t="s">
        <v>95</v>
      </c>
      <c r="I25" s="5" t="s">
        <v>142</v>
      </c>
      <c r="J25" s="5">
        <v>24</v>
      </c>
      <c r="K25" s="5">
        <f>O25-N25</f>
        <v>114.09999999993306</v>
      </c>
      <c r="L25" s="5">
        <f>Q25-P25</f>
        <v>287.20000000006985</v>
      </c>
      <c r="M25" s="13">
        <f>M24+1</f>
        <v>47597</v>
      </c>
      <c r="N25" s="13">
        <f>M25+1</f>
        <v>47598</v>
      </c>
      <c r="O25" s="13">
        <f>O24+0.7</f>
        <v>47712.099999999933</v>
      </c>
      <c r="P25" s="13">
        <f>O25+0.7</f>
        <v>47712.79999999993</v>
      </c>
      <c r="Q25" s="13">
        <f>Q24+4</f>
        <v>48000</v>
      </c>
      <c r="R25" s="13">
        <f>R24+4</f>
        <v>48004</v>
      </c>
    </row>
    <row r="26" spans="1:18" x14ac:dyDescent="0.35">
      <c r="A26" s="1" t="s">
        <v>15</v>
      </c>
      <c r="B26" s="1" t="s">
        <v>3</v>
      </c>
      <c r="C26" s="1">
        <v>447647.41399999999</v>
      </c>
      <c r="D26" s="1">
        <v>5925598.8696999997</v>
      </c>
      <c r="E26" s="5">
        <v>7392.1746666666668</v>
      </c>
      <c r="F26" s="4" t="s">
        <v>131</v>
      </c>
      <c r="G26" s="4" t="s">
        <v>131</v>
      </c>
      <c r="H26" s="5" t="s">
        <v>94</v>
      </c>
      <c r="I26" s="5" t="s">
        <v>142</v>
      </c>
      <c r="J26" s="5">
        <v>25</v>
      </c>
      <c r="K26" s="5">
        <f>O26-N26</f>
        <v>113.79999999993015</v>
      </c>
      <c r="L26" s="5">
        <f>Q26-P26</f>
        <v>290.50000000007276</v>
      </c>
      <c r="M26" s="13">
        <f>M25+1</f>
        <v>47598</v>
      </c>
      <c r="N26" s="13">
        <f>M26+1</f>
        <v>47599</v>
      </c>
      <c r="O26" s="13">
        <f>O25+0.7</f>
        <v>47712.79999999993</v>
      </c>
      <c r="P26" s="13">
        <f>O26+0.7</f>
        <v>47713.499999999927</v>
      </c>
      <c r="Q26" s="13">
        <f>Q25+4</f>
        <v>48004</v>
      </c>
      <c r="R26" s="13">
        <f>R25+4</f>
        <v>48008</v>
      </c>
    </row>
    <row r="27" spans="1:18" x14ac:dyDescent="0.35">
      <c r="A27" s="1" t="s">
        <v>16</v>
      </c>
      <c r="B27" s="1" t="s">
        <v>3</v>
      </c>
      <c r="C27" s="1">
        <v>449118.62310000003</v>
      </c>
      <c r="D27" s="1">
        <v>5925760.5027999999</v>
      </c>
      <c r="E27" s="5">
        <v>7708.5639999999994</v>
      </c>
      <c r="F27" s="4" t="s">
        <v>131</v>
      </c>
      <c r="G27" s="4" t="s">
        <v>131</v>
      </c>
      <c r="H27" s="5" t="s">
        <v>90</v>
      </c>
      <c r="I27" s="5" t="s">
        <v>142</v>
      </c>
      <c r="J27" s="5">
        <v>26</v>
      </c>
      <c r="K27" s="5">
        <f>O27-N27</f>
        <v>113.49999999992724</v>
      </c>
      <c r="L27" s="5">
        <f>Q27-P27</f>
        <v>293.80000000007567</v>
      </c>
      <c r="M27" s="13">
        <f>M26+1</f>
        <v>47599</v>
      </c>
      <c r="N27" s="13">
        <f>M27+1</f>
        <v>47600</v>
      </c>
      <c r="O27" s="13">
        <f>O26+0.7</f>
        <v>47713.499999999927</v>
      </c>
      <c r="P27" s="13">
        <f>O27+0.7</f>
        <v>47714.199999999924</v>
      </c>
      <c r="Q27" s="13">
        <f>Q26+4</f>
        <v>48008</v>
      </c>
      <c r="R27" s="13">
        <f>R26+4</f>
        <v>48012</v>
      </c>
    </row>
    <row r="28" spans="1:18" x14ac:dyDescent="0.35">
      <c r="A28" s="1" t="s">
        <v>21</v>
      </c>
      <c r="B28" s="1" t="s">
        <v>3</v>
      </c>
      <c r="C28" s="1">
        <v>450501.1079</v>
      </c>
      <c r="D28" s="1">
        <v>5925750.5869000005</v>
      </c>
      <c r="E28" s="5">
        <v>7636.3753333333334</v>
      </c>
      <c r="F28" s="4" t="s">
        <v>131</v>
      </c>
      <c r="G28" s="4" t="s">
        <v>131</v>
      </c>
      <c r="H28" s="5" t="s">
        <v>89</v>
      </c>
      <c r="I28" s="5" t="s">
        <v>142</v>
      </c>
      <c r="J28" s="5">
        <v>27</v>
      </c>
      <c r="K28" s="5">
        <f>O28-N28</f>
        <v>113.19999999992433</v>
      </c>
      <c r="L28" s="5">
        <f>Q28-P28</f>
        <v>297.10000000007858</v>
      </c>
      <c r="M28" s="13">
        <f>M27+1</f>
        <v>47600</v>
      </c>
      <c r="N28" s="13">
        <f>M28+1</f>
        <v>47601</v>
      </c>
      <c r="O28" s="13">
        <f>O27+0.7</f>
        <v>47714.199999999924</v>
      </c>
      <c r="P28" s="13">
        <f>O28+0.7</f>
        <v>47714.899999999921</v>
      </c>
      <c r="Q28" s="13">
        <f>Q27+4</f>
        <v>48012</v>
      </c>
      <c r="R28" s="13">
        <f>R27+4</f>
        <v>48016</v>
      </c>
    </row>
    <row r="29" spans="1:18" x14ac:dyDescent="0.35">
      <c r="A29" s="1" t="s">
        <v>9</v>
      </c>
      <c r="B29" s="1" t="s">
        <v>3</v>
      </c>
      <c r="C29" s="1">
        <v>451884.2303</v>
      </c>
      <c r="D29" s="1">
        <v>5925707.2302000001</v>
      </c>
      <c r="E29" s="5">
        <v>7418.6966666666667</v>
      </c>
      <c r="F29" s="4" t="s">
        <v>131</v>
      </c>
      <c r="G29" s="4" t="s">
        <v>131</v>
      </c>
      <c r="H29" s="5" t="s">
        <v>85</v>
      </c>
      <c r="I29" s="5" t="s">
        <v>142</v>
      </c>
      <c r="J29" s="5">
        <v>28</v>
      </c>
      <c r="K29" s="5">
        <f>O29-N29</f>
        <v>112.89999999992142</v>
      </c>
      <c r="L29" s="5">
        <f>Q29-P29</f>
        <v>300.40000000008149</v>
      </c>
      <c r="M29" s="13">
        <f>M28+1</f>
        <v>47601</v>
      </c>
      <c r="N29" s="13">
        <f>M29+1</f>
        <v>47602</v>
      </c>
      <c r="O29" s="13">
        <f>O28+0.7</f>
        <v>47714.899999999921</v>
      </c>
      <c r="P29" s="13">
        <f>O29+0.7</f>
        <v>47715.599999999919</v>
      </c>
      <c r="Q29" s="13">
        <f>Q28+4</f>
        <v>48016</v>
      </c>
      <c r="R29" s="13">
        <f>R28+4</f>
        <v>48020</v>
      </c>
    </row>
    <row r="30" spans="1:18" x14ac:dyDescent="0.35">
      <c r="A30" s="1" t="s">
        <v>19</v>
      </c>
      <c r="B30" s="1" t="s">
        <v>3</v>
      </c>
      <c r="C30" s="1">
        <v>453171.92200000002</v>
      </c>
      <c r="D30" s="1">
        <v>5925473.7775999997</v>
      </c>
      <c r="E30" s="5">
        <v>7298.2633333333333</v>
      </c>
      <c r="F30" s="4" t="s">
        <v>131</v>
      </c>
      <c r="G30" s="4" t="s">
        <v>131</v>
      </c>
      <c r="H30" s="5" t="s">
        <v>79</v>
      </c>
      <c r="I30" s="5" t="s">
        <v>142</v>
      </c>
      <c r="J30" s="5">
        <v>29</v>
      </c>
      <c r="K30" s="5">
        <f>O30-N30</f>
        <v>112.59999999991851</v>
      </c>
      <c r="L30" s="5">
        <f>Q30-P30</f>
        <v>303.7000000000844</v>
      </c>
      <c r="M30" s="13">
        <f>M29+1</f>
        <v>47602</v>
      </c>
      <c r="N30" s="13">
        <f>M30+1</f>
        <v>47603</v>
      </c>
      <c r="O30" s="13">
        <f>O29+0.7</f>
        <v>47715.599999999919</v>
      </c>
      <c r="P30" s="13">
        <f>O30+0.7</f>
        <v>47716.299999999916</v>
      </c>
      <c r="Q30" s="13">
        <f>Q29+4</f>
        <v>48020</v>
      </c>
      <c r="R30" s="13">
        <f>R29+4</f>
        <v>48024</v>
      </c>
    </row>
    <row r="31" spans="1:18" x14ac:dyDescent="0.35">
      <c r="A31" s="1" t="s">
        <v>25</v>
      </c>
      <c r="B31" s="1" t="s">
        <v>3</v>
      </c>
      <c r="C31" s="1">
        <v>454541.50530000002</v>
      </c>
      <c r="D31" s="1">
        <v>5925538.8964</v>
      </c>
      <c r="E31" s="5">
        <v>7358.938666666666</v>
      </c>
      <c r="F31" s="4" t="s">
        <v>131</v>
      </c>
      <c r="G31" s="4" t="s">
        <v>131</v>
      </c>
      <c r="H31" s="5" t="s">
        <v>75</v>
      </c>
      <c r="I31" s="5" t="s">
        <v>142</v>
      </c>
      <c r="J31" s="5">
        <v>30</v>
      </c>
      <c r="K31" s="5">
        <f>O31-N31</f>
        <v>112.2999999999156</v>
      </c>
      <c r="L31" s="5">
        <f>Q31-P31</f>
        <v>307.00000000008731</v>
      </c>
      <c r="M31" s="13">
        <f>M30+1</f>
        <v>47603</v>
      </c>
      <c r="N31" s="13">
        <f>M31+1</f>
        <v>47604</v>
      </c>
      <c r="O31" s="13">
        <f>O30+0.7</f>
        <v>47716.299999999916</v>
      </c>
      <c r="P31" s="13">
        <f>O31+0.7</f>
        <v>47716.999999999913</v>
      </c>
      <c r="Q31" s="13">
        <f>Q30+4</f>
        <v>48024</v>
      </c>
      <c r="R31" s="13">
        <f>R30+4</f>
        <v>48028</v>
      </c>
    </row>
    <row r="32" spans="1:18" x14ac:dyDescent="0.35">
      <c r="A32" s="1" t="s">
        <v>32</v>
      </c>
      <c r="B32" s="1" t="s">
        <v>3</v>
      </c>
      <c r="C32" s="1">
        <v>455865.59909999999</v>
      </c>
      <c r="D32" s="1">
        <v>5925738.2577999998</v>
      </c>
      <c r="E32" s="5">
        <v>7209.4139999999998</v>
      </c>
      <c r="F32" s="4" t="s">
        <v>131</v>
      </c>
      <c r="G32" s="4" t="s">
        <v>131</v>
      </c>
      <c r="H32" s="5" t="s">
        <v>76</v>
      </c>
      <c r="I32" s="5" t="s">
        <v>142</v>
      </c>
      <c r="J32" s="5">
        <v>31</v>
      </c>
      <c r="K32" s="5">
        <f>O32-N32</f>
        <v>111.99999999991269</v>
      </c>
      <c r="L32" s="5">
        <f>Q32-P32</f>
        <v>310.30000000009022</v>
      </c>
      <c r="M32" s="13">
        <f>M31+1</f>
        <v>47604</v>
      </c>
      <c r="N32" s="13">
        <f>M32+1</f>
        <v>47605</v>
      </c>
      <c r="O32" s="13">
        <f>O31+0.7</f>
        <v>47716.999999999913</v>
      </c>
      <c r="P32" s="13">
        <f>O32+0.7</f>
        <v>47717.69999999991</v>
      </c>
      <c r="Q32" s="13">
        <f>Q31+4</f>
        <v>48028</v>
      </c>
      <c r="R32" s="13">
        <f>R31+4</f>
        <v>48032</v>
      </c>
    </row>
    <row r="33" spans="1:18" x14ac:dyDescent="0.35">
      <c r="A33" s="1" t="s">
        <v>22</v>
      </c>
      <c r="B33" s="1" t="s">
        <v>3</v>
      </c>
      <c r="C33" s="1">
        <v>443097.15230000002</v>
      </c>
      <c r="D33" s="1">
        <v>5924550.3740999997</v>
      </c>
      <c r="E33" s="5">
        <v>7302.52</v>
      </c>
      <c r="F33" s="4" t="s">
        <v>131</v>
      </c>
      <c r="G33" s="4" t="s">
        <v>131</v>
      </c>
      <c r="H33" s="5" t="s">
        <v>107</v>
      </c>
      <c r="I33" s="5" t="s">
        <v>142</v>
      </c>
      <c r="J33" s="5">
        <v>32</v>
      </c>
      <c r="K33" s="5">
        <f>O33-N33</f>
        <v>111.69999999990978</v>
      </c>
      <c r="L33" s="5">
        <f>Q33-P33</f>
        <v>313.60000000009313</v>
      </c>
      <c r="M33" s="13">
        <f>M32+1</f>
        <v>47605</v>
      </c>
      <c r="N33" s="13">
        <f>M33+1</f>
        <v>47606</v>
      </c>
      <c r="O33" s="13">
        <f>O32+0.7</f>
        <v>47717.69999999991</v>
      </c>
      <c r="P33" s="13">
        <f>O33+0.7</f>
        <v>47718.399999999907</v>
      </c>
      <c r="Q33" s="13">
        <f>Q32+4</f>
        <v>48032</v>
      </c>
      <c r="R33" s="13">
        <f>R32+4</f>
        <v>48036</v>
      </c>
    </row>
    <row r="34" spans="1:18" x14ac:dyDescent="0.35">
      <c r="A34" s="1" t="s">
        <v>27</v>
      </c>
      <c r="B34" s="1" t="s">
        <v>3</v>
      </c>
      <c r="C34" s="1">
        <v>444695.2438</v>
      </c>
      <c r="D34" s="1">
        <v>5924530.9869999997</v>
      </c>
      <c r="E34" s="5">
        <v>7328.3693333333331</v>
      </c>
      <c r="F34" s="4" t="s">
        <v>131</v>
      </c>
      <c r="G34" s="4" t="s">
        <v>131</v>
      </c>
      <c r="H34" s="5" t="s">
        <v>105</v>
      </c>
      <c r="I34" s="5" t="s">
        <v>128</v>
      </c>
      <c r="J34" s="5">
        <v>33</v>
      </c>
      <c r="K34" s="5">
        <f>O34-N34</f>
        <v>111.39999999990687</v>
      </c>
      <c r="L34" s="5">
        <f>Q34-P34</f>
        <v>316.90000000009604</v>
      </c>
      <c r="M34" s="13">
        <f>M33+1</f>
        <v>47606</v>
      </c>
      <c r="N34" s="13">
        <f>M34+1</f>
        <v>47607</v>
      </c>
      <c r="O34" s="13">
        <f>O33+0.7</f>
        <v>47718.399999999907</v>
      </c>
      <c r="P34" s="13">
        <f>O34+0.7</f>
        <v>47719.099999999904</v>
      </c>
      <c r="Q34" s="13">
        <f>Q33+4</f>
        <v>48036</v>
      </c>
      <c r="R34" s="13">
        <f>R33+4</f>
        <v>48040</v>
      </c>
    </row>
    <row r="35" spans="1:18" x14ac:dyDescent="0.35">
      <c r="A35" s="1" t="s">
        <v>34</v>
      </c>
      <c r="B35" s="1" t="s">
        <v>3</v>
      </c>
      <c r="C35" s="1">
        <v>446137.12390000001</v>
      </c>
      <c r="D35" s="1">
        <v>5924621.1495000003</v>
      </c>
      <c r="E35" s="5">
        <v>7237.9006666666673</v>
      </c>
      <c r="F35" s="4" t="s">
        <v>131</v>
      </c>
      <c r="G35" s="4" t="s">
        <v>131</v>
      </c>
      <c r="H35" s="5" t="s">
        <v>100</v>
      </c>
      <c r="I35" s="5" t="s">
        <v>128</v>
      </c>
      <c r="J35" s="5">
        <v>34</v>
      </c>
      <c r="K35" s="5">
        <f>O35-N35</f>
        <v>111.09999999990396</v>
      </c>
      <c r="L35" s="5">
        <f>Q35-P35</f>
        <v>320.20000000009895</v>
      </c>
      <c r="M35" s="13">
        <f>M34+1</f>
        <v>47607</v>
      </c>
      <c r="N35" s="13">
        <f>M35+1</f>
        <v>47608</v>
      </c>
      <c r="O35" s="13">
        <f>O34+0.7</f>
        <v>47719.099999999904</v>
      </c>
      <c r="P35" s="13">
        <f>O35+0.7</f>
        <v>47719.799999999901</v>
      </c>
      <c r="Q35" s="13">
        <f>Q34+4</f>
        <v>48040</v>
      </c>
      <c r="R35" s="13">
        <f>R34+4</f>
        <v>48044</v>
      </c>
    </row>
    <row r="36" spans="1:18" x14ac:dyDescent="0.35">
      <c r="A36" s="1" t="s">
        <v>26</v>
      </c>
      <c r="B36" s="1" t="s">
        <v>3</v>
      </c>
      <c r="C36" s="1">
        <v>447559.76929999999</v>
      </c>
      <c r="D36" s="1">
        <v>5924472.1304000001</v>
      </c>
      <c r="E36" s="5">
        <v>7294.894666666667</v>
      </c>
      <c r="F36" s="4" t="s">
        <v>131</v>
      </c>
      <c r="G36" s="4" t="s">
        <v>131</v>
      </c>
      <c r="H36" s="5" t="s">
        <v>99</v>
      </c>
      <c r="I36" s="5" t="s">
        <v>128</v>
      </c>
      <c r="J36" s="5">
        <v>35</v>
      </c>
      <c r="K36" s="5">
        <f>O36-N36</f>
        <v>110.79999999990105</v>
      </c>
      <c r="L36" s="5">
        <f>Q36-P36</f>
        <v>323.50000000010186</v>
      </c>
      <c r="M36" s="13">
        <f>M35+1</f>
        <v>47608</v>
      </c>
      <c r="N36" s="13">
        <f>M36+1</f>
        <v>47609</v>
      </c>
      <c r="O36" s="13">
        <f>O35+0.7</f>
        <v>47719.799999999901</v>
      </c>
      <c r="P36" s="13">
        <f>O36+0.7</f>
        <v>47720.499999999898</v>
      </c>
      <c r="Q36" s="13">
        <f>Q35+4</f>
        <v>48044</v>
      </c>
      <c r="R36" s="13">
        <f>R35+4</f>
        <v>48048</v>
      </c>
    </row>
    <row r="37" spans="1:18" x14ac:dyDescent="0.35">
      <c r="A37" s="1" t="s">
        <v>13</v>
      </c>
      <c r="B37" s="1" t="s">
        <v>3</v>
      </c>
      <c r="C37" s="1">
        <v>451769.35249999998</v>
      </c>
      <c r="D37" s="1">
        <v>5924460.3476999998</v>
      </c>
      <c r="E37" s="5">
        <v>7505.174</v>
      </c>
      <c r="F37" s="4" t="s">
        <v>131</v>
      </c>
      <c r="G37" s="4" t="s">
        <v>131</v>
      </c>
      <c r="H37" s="5" t="s">
        <v>84</v>
      </c>
      <c r="I37" s="5" t="s">
        <v>128</v>
      </c>
      <c r="J37" s="5">
        <v>36</v>
      </c>
      <c r="K37" s="5">
        <f>O37-N37</f>
        <v>110.49999999989814</v>
      </c>
      <c r="L37" s="5">
        <f>Q37-P37</f>
        <v>326.80000000010477</v>
      </c>
      <c r="M37" s="13">
        <f>M36+1</f>
        <v>47609</v>
      </c>
      <c r="N37" s="13">
        <f>M37+1</f>
        <v>47610</v>
      </c>
      <c r="O37" s="13">
        <f>O36+0.7</f>
        <v>47720.499999999898</v>
      </c>
      <c r="P37" s="13">
        <f>O37+0.7</f>
        <v>47721.199999999895</v>
      </c>
      <c r="Q37" s="13">
        <f>Q36+4</f>
        <v>48048</v>
      </c>
      <c r="R37" s="13">
        <f>R36+4</f>
        <v>48052</v>
      </c>
    </row>
    <row r="38" spans="1:18" x14ac:dyDescent="0.35">
      <c r="A38" s="1" t="s">
        <v>38</v>
      </c>
      <c r="B38" s="1" t="s">
        <v>3</v>
      </c>
      <c r="C38" s="1">
        <v>443101.7856</v>
      </c>
      <c r="D38" s="1">
        <v>5923335.0530000003</v>
      </c>
      <c r="E38" s="5">
        <v>7272.3606666666674</v>
      </c>
      <c r="F38" s="4" t="s">
        <v>131</v>
      </c>
      <c r="G38" s="4" t="s">
        <v>131</v>
      </c>
      <c r="H38" s="5" t="s">
        <v>112</v>
      </c>
      <c r="I38" s="5" t="s">
        <v>128</v>
      </c>
      <c r="J38" s="5">
        <v>37</v>
      </c>
      <c r="K38" s="5">
        <f>O38-N38</f>
        <v>110.19999999989523</v>
      </c>
      <c r="L38" s="5">
        <f>Q38-P38</f>
        <v>330.10000000010768</v>
      </c>
      <c r="M38" s="13">
        <f>M37+1</f>
        <v>47610</v>
      </c>
      <c r="N38" s="13">
        <f>M38+1</f>
        <v>47611</v>
      </c>
      <c r="O38" s="13">
        <f>O37+0.7</f>
        <v>47721.199999999895</v>
      </c>
      <c r="P38" s="13">
        <f>O38+0.7</f>
        <v>47721.899999999892</v>
      </c>
      <c r="Q38" s="13">
        <f>Q37+4</f>
        <v>48052</v>
      </c>
      <c r="R38" s="13">
        <f>R37+4</f>
        <v>48056</v>
      </c>
    </row>
    <row r="39" spans="1:18" x14ac:dyDescent="0.35">
      <c r="A39" s="1" t="s">
        <v>37</v>
      </c>
      <c r="B39" s="1" t="s">
        <v>3</v>
      </c>
      <c r="C39" s="1">
        <v>444609.62439999997</v>
      </c>
      <c r="D39" s="1">
        <v>5922980.8535000002</v>
      </c>
      <c r="E39" s="5">
        <v>7195.5113333333329</v>
      </c>
      <c r="F39" s="4" t="s">
        <v>131</v>
      </c>
      <c r="G39" s="4" t="s">
        <v>131</v>
      </c>
      <c r="H39" s="5" t="s">
        <v>110</v>
      </c>
      <c r="I39" s="5" t="s">
        <v>128</v>
      </c>
      <c r="J39" s="5">
        <v>38</v>
      </c>
      <c r="K39" s="5">
        <f>O39-N39</f>
        <v>109.89999999989232</v>
      </c>
      <c r="L39" s="5">
        <f>Q39-P39</f>
        <v>333.40000000011059</v>
      </c>
      <c r="M39" s="13">
        <f>M38+1</f>
        <v>47611</v>
      </c>
      <c r="N39" s="13">
        <f>M39+1</f>
        <v>47612</v>
      </c>
      <c r="O39" s="13">
        <f>O38+0.7</f>
        <v>47721.899999999892</v>
      </c>
      <c r="P39" s="13">
        <f>O39+0.7</f>
        <v>47722.599999999889</v>
      </c>
      <c r="Q39" s="13">
        <f>Q38+4</f>
        <v>48056</v>
      </c>
      <c r="R39" s="13">
        <f>R38+4</f>
        <v>48060</v>
      </c>
    </row>
    <row r="40" spans="1:18" x14ac:dyDescent="0.35">
      <c r="A40" s="1" t="s">
        <v>31</v>
      </c>
      <c r="B40" s="1" t="s">
        <v>3</v>
      </c>
      <c r="C40" s="1">
        <v>446107.67910000001</v>
      </c>
      <c r="D40" s="1">
        <v>5923540.4664000003</v>
      </c>
      <c r="E40" s="5">
        <v>7245.2753333333339</v>
      </c>
      <c r="F40" s="4" t="s">
        <v>131</v>
      </c>
      <c r="G40" s="4" t="s">
        <v>131</v>
      </c>
      <c r="H40" s="5" t="s">
        <v>104</v>
      </c>
      <c r="I40" s="5" t="s">
        <v>128</v>
      </c>
      <c r="J40" s="5">
        <v>39</v>
      </c>
      <c r="K40" s="5">
        <f>O40-N40</f>
        <v>109.59999999988941</v>
      </c>
      <c r="L40" s="5">
        <f>Q40-P40</f>
        <v>336.7000000001135</v>
      </c>
      <c r="M40" s="13">
        <f>M39+1</f>
        <v>47612</v>
      </c>
      <c r="N40" s="13">
        <f>M40+1</f>
        <v>47613</v>
      </c>
      <c r="O40" s="13">
        <f>O39+0.7</f>
        <v>47722.599999999889</v>
      </c>
      <c r="P40" s="13">
        <f>O40+0.7</f>
        <v>47723.299999999886</v>
      </c>
      <c r="Q40" s="13">
        <f>Q39+4</f>
        <v>48060</v>
      </c>
      <c r="R40" s="13">
        <f>R39+4</f>
        <v>48064</v>
      </c>
    </row>
    <row r="41" spans="1:18" x14ac:dyDescent="0.35">
      <c r="A41" s="1" t="s">
        <v>33</v>
      </c>
      <c r="B41" s="1" t="s">
        <v>3</v>
      </c>
      <c r="C41" s="1">
        <v>453042.25199999998</v>
      </c>
      <c r="D41" s="1">
        <v>5923221.8696999997</v>
      </c>
      <c r="E41" s="5">
        <v>7266.1866666666674</v>
      </c>
      <c r="F41" s="4" t="s">
        <v>131</v>
      </c>
      <c r="G41" s="4" t="s">
        <v>131</v>
      </c>
      <c r="H41" s="5" t="s">
        <v>74</v>
      </c>
      <c r="I41" s="5" t="s">
        <v>128</v>
      </c>
      <c r="J41" s="5">
        <v>40</v>
      </c>
      <c r="K41" s="5">
        <f>O41-N41</f>
        <v>109.2999999998865</v>
      </c>
      <c r="L41" s="5">
        <f>Q41-P41</f>
        <v>340.00000000011642</v>
      </c>
      <c r="M41" s="13">
        <f>M40+1</f>
        <v>47613</v>
      </c>
      <c r="N41" s="13">
        <f>M41+1</f>
        <v>47614</v>
      </c>
      <c r="O41" s="13">
        <f>O40+0.7</f>
        <v>47723.299999999886</v>
      </c>
      <c r="P41" s="13">
        <f>O41+0.7</f>
        <v>47723.999999999884</v>
      </c>
      <c r="Q41" s="13">
        <f>Q40+4</f>
        <v>48064</v>
      </c>
      <c r="R41" s="13">
        <f>R40+4</f>
        <v>48068</v>
      </c>
    </row>
    <row r="42" spans="1:18" x14ac:dyDescent="0.35">
      <c r="A42" s="1" t="s">
        <v>6</v>
      </c>
      <c r="B42" s="1" t="s">
        <v>3</v>
      </c>
      <c r="C42" s="1">
        <v>443105.85700000002</v>
      </c>
      <c r="D42" s="1">
        <v>5922267.1327</v>
      </c>
      <c r="E42" s="5">
        <v>7687.7940000000008</v>
      </c>
      <c r="F42" s="4" t="s">
        <v>131</v>
      </c>
      <c r="G42" s="4" t="s">
        <v>131</v>
      </c>
      <c r="H42" s="5" t="s">
        <v>111</v>
      </c>
      <c r="I42" s="5" t="s">
        <v>128</v>
      </c>
      <c r="J42" s="5">
        <v>41</v>
      </c>
      <c r="K42" s="5">
        <f>O42-N42</f>
        <v>108.99999999988358</v>
      </c>
      <c r="L42" s="5">
        <f>Q42-P42</f>
        <v>343.30000000011933</v>
      </c>
      <c r="M42" s="13">
        <f>M41+1</f>
        <v>47614</v>
      </c>
      <c r="N42" s="13">
        <f>M42+1</f>
        <v>47615</v>
      </c>
      <c r="O42" s="13">
        <f>O41+0.7</f>
        <v>47723.999999999884</v>
      </c>
      <c r="P42" s="13">
        <f>O42+0.7</f>
        <v>47724.699999999881</v>
      </c>
      <c r="Q42" s="13">
        <f>Q41+4</f>
        <v>48068</v>
      </c>
      <c r="R42" s="13">
        <f>R41+4</f>
        <v>48072</v>
      </c>
    </row>
    <row r="43" spans="1:18" x14ac:dyDescent="0.35">
      <c r="A43" s="1" t="s">
        <v>44</v>
      </c>
      <c r="B43" s="1" t="s">
        <v>3</v>
      </c>
      <c r="C43" s="1">
        <v>444406.18320000003</v>
      </c>
      <c r="D43" s="1">
        <v>5921798.2410000004</v>
      </c>
      <c r="E43" s="5">
        <v>6907.3286666666672</v>
      </c>
      <c r="F43" s="4" t="s">
        <v>131</v>
      </c>
      <c r="G43" s="4" t="s">
        <v>131</v>
      </c>
      <c r="H43" s="5" t="s">
        <v>116</v>
      </c>
      <c r="I43" s="5" t="s">
        <v>128</v>
      </c>
      <c r="J43" s="5">
        <v>42</v>
      </c>
      <c r="K43" s="5">
        <f>O43-N43</f>
        <v>108.69999999988067</v>
      </c>
      <c r="L43" s="5">
        <f>Q43-P43</f>
        <v>346.60000000012224</v>
      </c>
      <c r="M43" s="13">
        <f>M42+1</f>
        <v>47615</v>
      </c>
      <c r="N43" s="13">
        <f>M43+1</f>
        <v>47616</v>
      </c>
      <c r="O43" s="13">
        <f>O42+0.7</f>
        <v>47724.699999999881</v>
      </c>
      <c r="P43" s="13">
        <f>O43+0.7</f>
        <v>47725.399999999878</v>
      </c>
      <c r="Q43" s="13">
        <f>Q42+4</f>
        <v>48072</v>
      </c>
      <c r="R43" s="13">
        <f>R42+4</f>
        <v>48076</v>
      </c>
    </row>
    <row r="44" spans="1:18" x14ac:dyDescent="0.35">
      <c r="A44" s="1" t="s">
        <v>36</v>
      </c>
      <c r="B44" s="1" t="s">
        <v>3</v>
      </c>
      <c r="C44" s="1">
        <v>446002.61709999997</v>
      </c>
      <c r="D44" s="1">
        <v>5922377.7856000001</v>
      </c>
      <c r="E44" s="5">
        <v>7254.8386666666665</v>
      </c>
      <c r="F44" s="4" t="s">
        <v>131</v>
      </c>
      <c r="G44" s="4" t="s">
        <v>131</v>
      </c>
      <c r="H44" s="5" t="s">
        <v>109</v>
      </c>
      <c r="I44" s="5" t="s">
        <v>128</v>
      </c>
      <c r="J44" s="5">
        <v>43</v>
      </c>
      <c r="K44" s="5">
        <f>O44-N44</f>
        <v>108.39999999987776</v>
      </c>
      <c r="L44" s="5">
        <f>Q44-P44</f>
        <v>349.90000000012515</v>
      </c>
      <c r="M44" s="13">
        <f>M43+1</f>
        <v>47616</v>
      </c>
      <c r="N44" s="13">
        <f>M44+1</f>
        <v>47617</v>
      </c>
      <c r="O44" s="13">
        <f>O43+0.7</f>
        <v>47725.399999999878</v>
      </c>
      <c r="P44" s="13">
        <f>O44+0.7</f>
        <v>47726.099999999875</v>
      </c>
      <c r="Q44" s="13">
        <f>Q43+4</f>
        <v>48076</v>
      </c>
      <c r="R44" s="13">
        <f>R43+4</f>
        <v>48080</v>
      </c>
    </row>
    <row r="45" spans="1:18" x14ac:dyDescent="0.35">
      <c r="A45" s="1" t="s">
        <v>30</v>
      </c>
      <c r="B45" s="1" t="s">
        <v>3</v>
      </c>
      <c r="C45" s="1">
        <v>447321.2157</v>
      </c>
      <c r="D45" s="1">
        <v>5922155.3957000002</v>
      </c>
      <c r="E45" s="5">
        <v>7293.2340000000004</v>
      </c>
      <c r="F45" s="4" t="s">
        <v>131</v>
      </c>
      <c r="G45" s="4" t="s">
        <v>131</v>
      </c>
      <c r="H45" s="5" t="s">
        <v>115</v>
      </c>
      <c r="I45" s="5" t="s">
        <v>128</v>
      </c>
      <c r="J45" s="5">
        <v>44</v>
      </c>
      <c r="K45" s="5">
        <f>O45-N45</f>
        <v>108.09999999987485</v>
      </c>
      <c r="L45" s="5">
        <f>Q45-P45</f>
        <v>353.20000000012806</v>
      </c>
      <c r="M45" s="13">
        <f>M44+1</f>
        <v>47617</v>
      </c>
      <c r="N45" s="13">
        <f>M45+1</f>
        <v>47618</v>
      </c>
      <c r="O45" s="13">
        <f>O44+0.7</f>
        <v>47726.099999999875</v>
      </c>
      <c r="P45" s="13">
        <f>O45+0.7</f>
        <v>47726.799999999872</v>
      </c>
      <c r="Q45" s="13">
        <f>Q44+4</f>
        <v>48080</v>
      </c>
      <c r="R45" s="13">
        <f>R44+4</f>
        <v>48084</v>
      </c>
    </row>
    <row r="46" spans="1:18" x14ac:dyDescent="0.35">
      <c r="A46" s="1" t="s">
        <v>40</v>
      </c>
      <c r="B46" s="1" t="s">
        <v>3</v>
      </c>
      <c r="C46" s="1">
        <v>445872.24040000001</v>
      </c>
      <c r="D46" s="1">
        <v>5921269.5873999996</v>
      </c>
      <c r="E46" s="5">
        <v>7123.3286666666672</v>
      </c>
      <c r="F46" s="4" t="s">
        <v>131</v>
      </c>
      <c r="G46" s="4" t="s">
        <v>131</v>
      </c>
      <c r="H46" s="5" t="s">
        <v>117</v>
      </c>
      <c r="I46" s="5" t="s">
        <v>128</v>
      </c>
      <c r="J46" s="5">
        <v>45</v>
      </c>
      <c r="K46" s="5">
        <f>O46-N46</f>
        <v>107.79999999987194</v>
      </c>
      <c r="L46" s="5">
        <f>Q46-P46</f>
        <v>356.50000000013097</v>
      </c>
      <c r="M46" s="13">
        <f>M45+1</f>
        <v>47618</v>
      </c>
      <c r="N46" s="13">
        <f>M46+1</f>
        <v>47619</v>
      </c>
      <c r="O46" s="13">
        <f>O45+0.7</f>
        <v>47726.799999999872</v>
      </c>
      <c r="P46" s="13">
        <f>O46+0.7</f>
        <v>47727.499999999869</v>
      </c>
      <c r="Q46" s="13">
        <f>Q45+4</f>
        <v>48084</v>
      </c>
      <c r="R46" s="13">
        <f>R45+4</f>
        <v>48088</v>
      </c>
    </row>
    <row r="47" spans="1:18" x14ac:dyDescent="0.35">
      <c r="A47" s="1" t="s">
        <v>46</v>
      </c>
      <c r="B47" s="1" t="s">
        <v>3</v>
      </c>
      <c r="C47" s="1">
        <v>447172.71970000002</v>
      </c>
      <c r="D47" s="1">
        <v>5920800.6169999996</v>
      </c>
      <c r="E47" s="5">
        <v>6545.558</v>
      </c>
      <c r="F47" s="4" t="s">
        <v>131</v>
      </c>
      <c r="G47" s="4" t="s">
        <v>131</v>
      </c>
      <c r="H47" s="5" t="s">
        <v>122</v>
      </c>
      <c r="I47" s="5" t="s">
        <v>128</v>
      </c>
      <c r="J47" s="5">
        <v>46</v>
      </c>
      <c r="K47" s="5">
        <f>O47-N47</f>
        <v>107.49999999986903</v>
      </c>
      <c r="L47" s="5">
        <f>Q47-P47</f>
        <v>359.80000000013388</v>
      </c>
      <c r="M47" s="13">
        <f>M46+1</f>
        <v>47619</v>
      </c>
      <c r="N47" s="13">
        <f>M47+1</f>
        <v>47620</v>
      </c>
      <c r="O47" s="13">
        <f>O46+0.7</f>
        <v>47727.499999999869</v>
      </c>
      <c r="P47" s="13">
        <f>O47+0.7</f>
        <v>47728.199999999866</v>
      </c>
      <c r="Q47" s="13">
        <f>Q46+4</f>
        <v>48088</v>
      </c>
      <c r="R47" s="13">
        <f>R46+4</f>
        <v>48092</v>
      </c>
    </row>
    <row r="48" spans="1:18" x14ac:dyDescent="0.35">
      <c r="A48" s="1" t="s">
        <v>43</v>
      </c>
      <c r="B48" s="1" t="s">
        <v>3</v>
      </c>
      <c r="C48" s="1">
        <v>448685.48479999998</v>
      </c>
      <c r="D48" s="1">
        <v>5921383.6398</v>
      </c>
      <c r="E48" s="5">
        <v>6951.7946666666658</v>
      </c>
      <c r="F48" s="4" t="s">
        <v>131</v>
      </c>
      <c r="G48" s="4" t="s">
        <v>131</v>
      </c>
      <c r="H48" s="5" t="s">
        <v>114</v>
      </c>
      <c r="I48" s="5" t="s">
        <v>128</v>
      </c>
      <c r="J48" s="5">
        <v>47</v>
      </c>
      <c r="K48" s="5">
        <f>O48-N48</f>
        <v>107.19999999986612</v>
      </c>
      <c r="L48" s="5">
        <f>Q48-P48</f>
        <v>363.10000000013679</v>
      </c>
      <c r="M48" s="13">
        <f>M47+1</f>
        <v>47620</v>
      </c>
      <c r="N48" s="13">
        <f>M48+1</f>
        <v>47621</v>
      </c>
      <c r="O48" s="13">
        <f>O47+0.7</f>
        <v>47728.199999999866</v>
      </c>
      <c r="P48" s="13">
        <f>O48+0.7</f>
        <v>47728.899999999863</v>
      </c>
      <c r="Q48" s="13">
        <f>Q47+4</f>
        <v>48092</v>
      </c>
      <c r="R48" s="13">
        <f>R47+4</f>
        <v>48096</v>
      </c>
    </row>
    <row r="49" spans="1:18" x14ac:dyDescent="0.35">
      <c r="A49" s="1" t="s">
        <v>47</v>
      </c>
      <c r="B49" s="1" t="s">
        <v>3</v>
      </c>
      <c r="C49" s="1">
        <v>448580.50630000001</v>
      </c>
      <c r="D49" s="1">
        <v>5920292.7520000003</v>
      </c>
      <c r="E49" s="5">
        <v>6476.6113333333333</v>
      </c>
      <c r="F49" s="4" t="s">
        <v>131</v>
      </c>
      <c r="G49" s="4" t="s">
        <v>56</v>
      </c>
      <c r="H49" s="5" t="s">
        <v>121</v>
      </c>
      <c r="I49" s="5" t="s">
        <v>128</v>
      </c>
      <c r="J49" s="5">
        <v>48</v>
      </c>
      <c r="K49" s="5">
        <f>O49-N49</f>
        <v>106.89999999986321</v>
      </c>
      <c r="L49" s="5">
        <f>Q49-P49</f>
        <v>366.4000000001397</v>
      </c>
      <c r="M49" s="13">
        <f>M48+1</f>
        <v>47621</v>
      </c>
      <c r="N49" s="13">
        <f>M49+1</f>
        <v>47622</v>
      </c>
      <c r="O49" s="13">
        <f>O48+0.7</f>
        <v>47728.899999999863</v>
      </c>
      <c r="P49" s="13">
        <f>O49+0.7</f>
        <v>47729.59999999986</v>
      </c>
      <c r="Q49" s="13">
        <f>Q48+4</f>
        <v>48096</v>
      </c>
      <c r="R49" s="13">
        <f>R48+4</f>
        <v>48100</v>
      </c>
    </row>
    <row r="50" spans="1:18" x14ac:dyDescent="0.35">
      <c r="A50" s="1" t="s">
        <v>48</v>
      </c>
      <c r="B50" s="1" t="s">
        <v>3</v>
      </c>
      <c r="C50" s="1">
        <v>449862.7892</v>
      </c>
      <c r="D50" s="1">
        <v>5919830.1629999997</v>
      </c>
      <c r="E50" s="5">
        <v>6454.7913333333336</v>
      </c>
      <c r="F50" s="4" t="s">
        <v>131</v>
      </c>
      <c r="G50" s="4" t="s">
        <v>56</v>
      </c>
      <c r="H50" s="5" t="s">
        <v>120</v>
      </c>
      <c r="I50" s="5" t="s">
        <v>128</v>
      </c>
      <c r="J50" s="5">
        <v>49</v>
      </c>
      <c r="K50" s="5">
        <f>O50-N50</f>
        <v>106.5999999998603</v>
      </c>
      <c r="L50" s="5">
        <f>Q50-P50</f>
        <v>369.70000000014261</v>
      </c>
      <c r="M50" s="13">
        <f>M49+1</f>
        <v>47622</v>
      </c>
      <c r="N50" s="13">
        <f>M50+1</f>
        <v>47623</v>
      </c>
      <c r="O50" s="13">
        <f>O49+0.7</f>
        <v>47729.59999999986</v>
      </c>
      <c r="P50" s="13">
        <f>O50+0.7</f>
        <v>47730.299999999857</v>
      </c>
      <c r="Q50" s="13">
        <f>Q49+4</f>
        <v>48100</v>
      </c>
      <c r="R50" s="13">
        <f>R49+4</f>
        <v>48104</v>
      </c>
    </row>
    <row r="51" spans="1:18" x14ac:dyDescent="0.35">
      <c r="A51" s="1" t="s">
        <v>49</v>
      </c>
      <c r="B51" s="1" t="s">
        <v>3</v>
      </c>
      <c r="C51" s="1">
        <v>451376.05729999999</v>
      </c>
      <c r="D51" s="1">
        <v>5920298.3925000001</v>
      </c>
      <c r="E51" s="5">
        <v>6416.0893333333333</v>
      </c>
      <c r="F51" s="4" t="s">
        <v>131</v>
      </c>
      <c r="G51" s="4" t="s">
        <v>56</v>
      </c>
      <c r="H51" s="5" t="s">
        <v>119</v>
      </c>
      <c r="I51" s="5" t="s">
        <v>128</v>
      </c>
      <c r="J51" s="5">
        <v>50</v>
      </c>
      <c r="K51" s="5">
        <f>O51-N51</f>
        <v>106.29999999985739</v>
      </c>
      <c r="L51" s="5">
        <f>Q51-P51</f>
        <v>373.00000000014552</v>
      </c>
      <c r="M51" s="13">
        <f>M50+1</f>
        <v>47623</v>
      </c>
      <c r="N51" s="13">
        <f>M51+1</f>
        <v>47624</v>
      </c>
      <c r="O51" s="13">
        <f>O50+0.7</f>
        <v>47730.299999999857</v>
      </c>
      <c r="P51" s="13">
        <f>O51+0.7</f>
        <v>47730.999999999854</v>
      </c>
      <c r="Q51" s="13">
        <f>Q50+4</f>
        <v>48104</v>
      </c>
      <c r="R51" s="13">
        <f>R50+4</f>
        <v>48108</v>
      </c>
    </row>
    <row r="53" spans="1:18" x14ac:dyDescent="0.35">
      <c r="A53" s="14" t="s">
        <v>145</v>
      </c>
    </row>
    <row r="54" spans="1:18" x14ac:dyDescent="0.35">
      <c r="A54" s="3"/>
    </row>
    <row r="57" spans="1:18" x14ac:dyDescent="0.35">
      <c r="A57" s="3"/>
    </row>
  </sheetData>
  <autoFilter ref="A1:I1" xr:uid="{A82EA8D4-BAA5-468E-B97E-DC4F4ED9B933}">
    <sortState xmlns:xlrd2="http://schemas.microsoft.com/office/spreadsheetml/2017/richdata2" ref="A2:I51">
      <sortCondition descending="1" ref="F1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F0DD2-78E1-4273-A666-3087956F3E8E}">
  <dimension ref="A1:F7"/>
  <sheetViews>
    <sheetView workbookViewId="0">
      <selection activeCell="E10" sqref="E10"/>
    </sheetView>
  </sheetViews>
  <sheetFormatPr defaultRowHeight="14.5" x14ac:dyDescent="0.35"/>
  <cols>
    <col min="2" max="2" width="28.453125" bestFit="1" customWidth="1"/>
    <col min="3" max="3" width="59.54296875" customWidth="1"/>
    <col min="4" max="4" width="20.81640625" customWidth="1"/>
    <col min="5" max="5" width="20.26953125" customWidth="1"/>
    <col min="6" max="6" width="12.7265625" customWidth="1"/>
  </cols>
  <sheetData>
    <row r="1" spans="1:6" x14ac:dyDescent="0.35">
      <c r="A1" s="6" t="s">
        <v>69</v>
      </c>
      <c r="B1" s="6" t="s">
        <v>65</v>
      </c>
      <c r="C1" s="6" t="s">
        <v>66</v>
      </c>
      <c r="D1" s="8" t="s">
        <v>67</v>
      </c>
      <c r="E1" s="8" t="s">
        <v>68</v>
      </c>
      <c r="F1" s="8" t="s">
        <v>134</v>
      </c>
    </row>
    <row r="2" spans="1:6" x14ac:dyDescent="0.35">
      <c r="A2" t="s">
        <v>70</v>
      </c>
      <c r="B2" t="s">
        <v>72</v>
      </c>
      <c r="C2" s="7" t="s">
        <v>71</v>
      </c>
      <c r="D2" s="2" t="s">
        <v>135</v>
      </c>
      <c r="E2" s="9" t="s">
        <v>137</v>
      </c>
      <c r="F2" s="2" t="s">
        <v>136</v>
      </c>
    </row>
    <row r="3" spans="1:6" x14ac:dyDescent="0.35">
      <c r="A3" t="s">
        <v>70</v>
      </c>
      <c r="B3" t="s">
        <v>124</v>
      </c>
      <c r="C3" s="7" t="s">
        <v>125</v>
      </c>
      <c r="D3" s="2" t="s">
        <v>135</v>
      </c>
      <c r="E3" s="9" t="s">
        <v>137</v>
      </c>
      <c r="F3" s="2" t="s">
        <v>136</v>
      </c>
    </row>
    <row r="4" spans="1:6" ht="29" x14ac:dyDescent="0.35">
      <c r="A4" t="s">
        <v>70</v>
      </c>
      <c r="B4" t="s">
        <v>133</v>
      </c>
      <c r="C4" s="7" t="s">
        <v>132</v>
      </c>
      <c r="D4" s="2" t="s">
        <v>126</v>
      </c>
      <c r="E4" s="9">
        <v>0.5</v>
      </c>
      <c r="F4" s="2" t="s">
        <v>136</v>
      </c>
    </row>
    <row r="5" spans="1:6" x14ac:dyDescent="0.35">
      <c r="A5" t="s">
        <v>70</v>
      </c>
      <c r="B5" t="s">
        <v>127</v>
      </c>
      <c r="C5" s="7" t="s">
        <v>139</v>
      </c>
      <c r="D5" s="2" t="s">
        <v>126</v>
      </c>
      <c r="E5" s="9">
        <v>0.5</v>
      </c>
      <c r="F5" s="2" t="s">
        <v>138</v>
      </c>
    </row>
    <row r="6" spans="1:6" x14ac:dyDescent="0.35">
      <c r="E6" s="9"/>
    </row>
    <row r="7" spans="1:6" x14ac:dyDescent="0.35">
      <c r="E7" s="9"/>
    </row>
  </sheetData>
  <dataValidations disablePrompts="1" count="4">
    <dataValidation type="list" allowBlank="1" showInputMessage="1" showErrorMessage="1" errorTitle="Invalid Type" error="Please select Hard or Soft." sqref="D2:D5" xr:uid="{D4FCFE9A-E235-4B98-9987-561B1AC0C4DF}">
      <formula1>"Hard,Soft"</formula1>
    </dataValidation>
    <dataValidation type="list" allowBlank="1" showInputMessage="1" showErrorMessage="1" errorTitle="Invalid Status" error="Please select Active or Not active." sqref="F2:F5" xr:uid="{E551D742-AB0D-417C-A0FA-2204290D0302}">
      <formula1>"Active,Not active"</formula1>
    </dataValidation>
    <dataValidation type="list" allowBlank="1" showInputMessage="1" showErrorMessage="1" errorTitle="Invalid package" error="Select FOU, IAC, or WTG from the dropdown." sqref="A2:A5" xr:uid="{83F553AC-172D-47DD-A847-76E66024C52B}">
      <formula1>"FOU,IAC,WTG"</formula1>
    </dataValidation>
    <dataValidation type="custom" allowBlank="1" showInputMessage="1" showErrorMessage="1" errorTitle="Invalid Severity" error="For Hard constraints enter NA. For Soft constraints enter a percentage from 0% to 100%." promptTitle="Severity" prompt="Hard = NA; Soft = 0% to 100%." sqref="E2:E5" xr:uid="{3CAEA019-2FAD-44A3-98BE-EFF0F59D3133}">
      <formula1>OR(AND($D2="Hard",$E2="NA"),AND($D2="Soft",ISNUMBER($E2),$E2&gt;=0,$E2&lt;=1))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56690-756F-4C45-8D09-D41B88A2AD6E}">
  <dimension ref="A1:B2"/>
  <sheetViews>
    <sheetView workbookViewId="0">
      <selection activeCell="B3" sqref="B3"/>
    </sheetView>
  </sheetViews>
  <sheetFormatPr defaultRowHeight="14.5" x14ac:dyDescent="0.35"/>
  <cols>
    <col min="1" max="1" width="10.7265625" customWidth="1"/>
  </cols>
  <sheetData>
    <row r="1" spans="1:2" x14ac:dyDescent="0.35">
      <c r="A1" t="s">
        <v>140</v>
      </c>
      <c r="B1" t="s">
        <v>144</v>
      </c>
    </row>
    <row r="2" spans="1:2" x14ac:dyDescent="0.35">
      <c r="A2" t="s">
        <v>141</v>
      </c>
      <c r="B2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sed xmlns="7b1e1d97-de89-451e-b61e-3a612707828f">false</Revised>
    <_Flow_SignoffStatus xmlns="7b1e1d97-de89-451e-b61e-3a612707828f" xsi:nil="true"/>
    <IconOverlay xmlns="http://schemas.microsoft.com/sharepoint/v4" xsi:nil="true"/>
    <DateandTime xmlns="7b1e1d97-de89-451e-b61e-3a612707828f" xsi:nil="true"/>
    <TranslatedLang xmlns="7b1e1d97-de89-451e-b61e-3a612707828f" xsi:nil="true"/>
    <lcf76f155ced4ddcb4097134ff3c332f xmlns="7b1e1d97-de89-451e-b61e-3a612707828f">
      <Terms xmlns="http://schemas.microsoft.com/office/infopath/2007/PartnerControls"/>
    </lcf76f155ced4ddcb4097134ff3c332f>
    <TaxCatchAll xmlns="fb957374-73fb-46c8-b1d5-5557a51ca38a" xsi:nil="true"/>
    <OEM xmlns="7b1e1d97-de89-451e-b61e-3a612707828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4B1D761BDB6B498A1DC5A0D78900EE" ma:contentTypeVersion="26" ma:contentTypeDescription="Create a new document." ma:contentTypeScope="" ma:versionID="78345c13f88d78bd560ff02a76daed41">
  <xsd:schema xmlns:xsd="http://www.w3.org/2001/XMLSchema" xmlns:xs="http://www.w3.org/2001/XMLSchema" xmlns:p="http://schemas.microsoft.com/office/2006/metadata/properties" xmlns:ns2="7b1e1d97-de89-451e-b61e-3a612707828f" xmlns:ns3="5b6d62e9-fedc-43d0-83d3-3983de244cac" xmlns:ns4="fb957374-73fb-46c8-b1d5-5557a51ca38a" xmlns:ns5="http://schemas.microsoft.com/sharepoint/v4" targetNamespace="http://schemas.microsoft.com/office/2006/metadata/properties" ma:root="true" ma:fieldsID="c745cdac93650d4e9673cc66f9377fdc" ns2:_="" ns3:_="" ns4:_="" ns5:_="">
    <xsd:import namespace="7b1e1d97-de89-451e-b61e-3a612707828f"/>
    <xsd:import namespace="5b6d62e9-fedc-43d0-83d3-3983de244cac"/>
    <xsd:import namespace="fb957374-73fb-46c8-b1d5-5557a51ca38a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Revised" minOccurs="0"/>
                <xsd:element ref="ns5:IconOverlay" minOccurs="0"/>
                <xsd:element ref="ns2:MediaServiceBillingMetadata" minOccurs="0"/>
                <xsd:element ref="ns2:TranslatedLang" minOccurs="0"/>
                <xsd:element ref="ns2:_Flow_SignoffStatus" minOccurs="0"/>
                <xsd:element ref="ns2:DateandTime" minOccurs="0"/>
                <xsd:element ref="ns2:O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1d97-de89-451e-b61e-3a61270782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254e2c3-28f0-4d52-875a-3e05d851ee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sed" ma:index="26" nillable="true" ma:displayName="Revised" ma:default="0" ma:description="Revised to include Project / Package specific Cover Sheets?" ma:format="Dropdown" ma:internalName="Revised">
      <xsd:simpleType>
        <xsd:restriction base="dms:Boolean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TranslatedLang" ma:index="29" nillable="true" ma:displayName="Translated Language" ma:internalName="TranslatedLang">
      <xsd:simpleType>
        <xsd:restriction base="dms:Text"/>
      </xsd:simpleType>
    </xsd:element>
    <xsd:element name="_Flow_SignoffStatus" ma:index="30" nillable="true" ma:displayName="Sign-off status" ma:internalName="_x0024_Resources_x003a_core_x002c_Signoff_Status">
      <xsd:simpleType>
        <xsd:restriction base="dms:Text"/>
      </xsd:simpleType>
    </xsd:element>
    <xsd:element name="DateandTime" ma:index="31" nillable="true" ma:displayName="Date and Time" ma:format="DateOnly" ma:internalName="DateandTime">
      <xsd:simpleType>
        <xsd:restriction base="dms:DateTime"/>
      </xsd:simpleType>
    </xsd:element>
    <xsd:element name="OEM" ma:index="32" nillable="true" ma:displayName="OEM" ma:format="Dropdown" ma:internalName="OEM">
      <xsd:simpleType>
        <xsd:restriction base="dms:Choice">
          <xsd:enumeration value="Vestas"/>
          <xsd:enumeration value="SGR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d62e9-fedc-43d0-83d3-3983de244ca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957374-73fb-46c8-b1d5-5557a51ca38a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e8b2818-f146-461f-802b-2e1f1f2a9022}" ma:internalName="TaxCatchAll" ma:showField="CatchAllData" ma:web="5b6d62e9-fedc-43d0-83d3-3983de244c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7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E4A505-FD97-4F62-A54E-794D67C3C89E}">
  <ds:schemaRefs>
    <ds:schemaRef ds:uri="fb957374-73fb-46c8-b1d5-5557a51ca38a"/>
    <ds:schemaRef ds:uri="http://purl.org/dc/terms/"/>
    <ds:schemaRef ds:uri="http://schemas.microsoft.com/sharepoint/v4"/>
    <ds:schemaRef ds:uri="http://schemas.microsoft.com/office/2006/documentManagement/types"/>
    <ds:schemaRef ds:uri="http://schemas.openxmlformats.org/package/2006/metadata/core-properties"/>
    <ds:schemaRef ds:uri="7b1e1d97-de89-451e-b61e-3a612707828f"/>
    <ds:schemaRef ds:uri="5b6d62e9-fedc-43d0-83d3-3983de244cac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87E93EE-9EE0-4F81-BCAE-80D6FC49D1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68500C-071F-4C15-A3AC-7E2EA9766A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1e1d97-de89-451e-b61e-3a612707828f"/>
    <ds:schemaRef ds:uri="5b6d62e9-fedc-43d0-83d3-3983de244cac"/>
    <ds:schemaRef ds:uri="fb957374-73fb-46c8-b1d5-5557a51ca38a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481d56f-c63d-4d74-8406-d64e74f44395}" enabled="0" method="" siteId="{f481d56f-c63d-4d74-8406-d64e74f44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Constraints 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Kallias Ntroumpis, Dimitrios</dc:creator>
  <cp:lastModifiedBy>Kallias Ntroumpis, Dimitrios</cp:lastModifiedBy>
  <dcterms:created xsi:type="dcterms:W3CDTF">2026-10-19T14:17:36Z</dcterms:created>
  <dcterms:modified xsi:type="dcterms:W3CDTF">2026-10-22T14:32:35Z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0x0101004B4B1D761BDB6B498A1DC5A0D78900EE</vt:lpwstr>
  </property>
  <property fmtid="{D5CDD505-2E9C-101B-9397-08002B2CF9AE}" pid="3" name="MediaServiceImageTags">
    <vt:lpwstr/>
  </property>
</Properties>
</file>